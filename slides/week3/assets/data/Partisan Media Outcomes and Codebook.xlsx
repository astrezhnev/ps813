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dbroock/Library/CloudStorage/Dropbox/Broockman-Kalla/Partisan_Media/public_release/JOP Replication/data/input/"/>
    </mc:Choice>
  </mc:AlternateContent>
  <xr:revisionPtr revIDLastSave="0" documentId="13_ncr:1_{656A93AC-8459-E642-8F94-A69765F32A74}" xr6:coauthVersionLast="47" xr6:coauthVersionMax="47" xr10:uidLastSave="{00000000-0000-0000-0000-000000000000}"/>
  <bookViews>
    <workbookView xWindow="880" yWindow="500" windowWidth="37520" windowHeight="19620" activeTab="3" xr2:uid="{00000000-000D-0000-FFFF-FFFF00000000}"/>
  </bookViews>
  <sheets>
    <sheet name="Baseline (t0)" sheetId="7" r:id="rId1"/>
    <sheet name="Offer (t1)" sheetId="8" r:id="rId2"/>
    <sheet name="Quizzes (q)" sheetId="4" r:id="rId3"/>
    <sheet name="Midline (t2)" sheetId="1" r:id="rId4"/>
    <sheet name="Endline (t3)" sheetId="2" r:id="rId5"/>
    <sheet name="Voter File (vf)" sheetId="9" r:id="rId6"/>
    <sheet name="Viewership Data" sheetId="10" r:id="rId7"/>
    <sheet name="Index Names" sheetId="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2" l="1"/>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E62" i="4"/>
  <c r="E61" i="4"/>
  <c r="E60" i="4"/>
  <c r="E59" i="4"/>
  <c r="E57" i="4"/>
  <c r="E56" i="4"/>
  <c r="E55" i="4"/>
  <c r="E54" i="4"/>
  <c r="E53" i="4"/>
  <c r="E52" i="4"/>
  <c r="E51" i="4"/>
  <c r="E50" i="4"/>
  <c r="E49" i="4"/>
  <c r="E48" i="4"/>
  <c r="E47" i="4"/>
  <c r="E46" i="4"/>
  <c r="E45" i="4"/>
  <c r="E44" i="4"/>
  <c r="E43" i="4"/>
  <c r="E42" i="4"/>
  <c r="E41" i="4"/>
  <c r="E40" i="4"/>
  <c r="E39" i="4"/>
  <c r="E38" i="4"/>
  <c r="E37" i="4"/>
  <c r="E36" i="4"/>
  <c r="E35" i="4"/>
  <c r="E34" i="4"/>
  <c r="E33" i="4"/>
  <c r="D102" i="1"/>
  <c r="D101" i="1"/>
  <c r="D100" i="1"/>
  <c r="D99" i="1"/>
  <c r="D98"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E64" i="4"/>
  <c r="E63" i="4"/>
  <c r="E58"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D138"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18" i="2"/>
  <c r="D17" i="2"/>
  <c r="D16" i="2"/>
  <c r="D15" i="2"/>
  <c r="D205" i="1"/>
  <c r="D204" i="1"/>
  <c r="D203" i="1"/>
  <c r="D202" i="1"/>
  <c r="D201" i="1"/>
  <c r="D200" i="1"/>
  <c r="D199" i="1"/>
  <c r="D198" i="1"/>
  <c r="D197" i="1"/>
  <c r="D196" i="1"/>
  <c r="D192"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96" i="1"/>
  <c r="D95" i="1"/>
  <c r="D94" i="1"/>
  <c r="D93" i="1"/>
  <c r="D92" i="1"/>
  <c r="D91" i="1"/>
  <c r="D90" i="1"/>
  <c r="D89" i="1"/>
  <c r="D88" i="1"/>
  <c r="D87" i="1"/>
  <c r="D86" i="1"/>
  <c r="D85" i="1"/>
  <c r="D84" i="1"/>
  <c r="D83" i="1"/>
  <c r="D82" i="1"/>
  <c r="D81" i="1"/>
  <c r="D80" i="1"/>
  <c r="D79" i="1"/>
  <c r="D78" i="1"/>
  <c r="D77" i="1"/>
  <c r="D76" i="1"/>
  <c r="D75" i="1"/>
  <c r="D74" i="1"/>
  <c r="D73" i="1"/>
  <c r="D34" i="1"/>
  <c r="D33" i="1"/>
  <c r="D32" i="1"/>
  <c r="D31" i="1"/>
  <c r="D30" i="1"/>
  <c r="D29" i="1"/>
  <c r="D28" i="1"/>
  <c r="D27" i="1"/>
  <c r="D26" i="1"/>
  <c r="D25" i="1"/>
</calcChain>
</file>

<file path=xl/sharedStrings.xml><?xml version="1.0" encoding="utf-8"?>
<sst xmlns="http://schemas.openxmlformats.org/spreadsheetml/2006/main" count="4857" uniqueCount="1439">
  <si>
    <t>QID</t>
  </si>
  <si>
    <t>Item (if multiple items in question ID)</t>
  </si>
  <si>
    <t>Variable Name</t>
  </si>
  <si>
    <t>Item Display Name</t>
  </si>
  <si>
    <t>Family</t>
  </si>
  <si>
    <t>Index</t>
  </si>
  <si>
    <t>Coded Direction</t>
  </si>
  <si>
    <t>Notes / Recode values</t>
  </si>
  <si>
    <t>Individual Item of Interest?</t>
  </si>
  <si>
    <t>Q5</t>
  </si>
  <si>
    <t>Fox News</t>
  </si>
  <si>
    <t>hours_yesterdayfoxnews</t>
  </si>
  <si>
    <t>Hrs of Fox Watched Yesterday</t>
  </si>
  <si>
    <t>Post-Treatment Viewership</t>
  </si>
  <si>
    <t>-</t>
  </si>
  <si>
    <t>Negative</t>
  </si>
  <si>
    <t>n/a, treat as numeric. If Q4 not checked, code as 0.</t>
  </si>
  <si>
    <t>CNN</t>
  </si>
  <si>
    <t>hours_yesterdaycnn</t>
  </si>
  <si>
    <t>Hrs of CNN Watched Yesterday</t>
  </si>
  <si>
    <t>Positive</t>
  </si>
  <si>
    <t>Q7</t>
  </si>
  <si>
    <t>minutes_perweek_fox</t>
  </si>
  <si>
    <t>Fox Min Watched Per Week During Treatment Period</t>
  </si>
  <si>
    <t>During-Treatment Viewership</t>
  </si>
  <si>
    <t>During-Treatment Fox News Viewership</t>
  </si>
  <si>
    <t>Convert hours/minutes to total minutes and then multiply by number of days from Q6. If Q6 is never, code as 0.</t>
  </si>
  <si>
    <t>Q8</t>
  </si>
  <si>
    <t>minutes_perweek_cnn</t>
  </si>
  <si>
    <t>CNN Min Watched Per Week During Treatment Period</t>
  </si>
  <si>
    <t>Q9</t>
  </si>
  <si>
    <t>MSNBC</t>
  </si>
  <si>
    <t>minutes_perweek_msnbc</t>
  </si>
  <si>
    <t>MSNBC Min Watched Per Week During Treatment Period</t>
  </si>
  <si>
    <t>Q10</t>
  </si>
  <si>
    <t>Why some people vote for Democrats?</t>
  </si>
  <si>
    <t>better_understand_vote_dem</t>
  </si>
  <si>
    <t>Saw news that made better understand why people vote for Democrats</t>
  </si>
  <si>
    <t>Polarization</t>
  </si>
  <si>
    <t>Why some people vote for Republicans?</t>
  </si>
  <si>
    <t>better_understand_vote_rep</t>
  </si>
  <si>
    <t>Saw news that made better understand why people vote for Republicans</t>
  </si>
  <si>
    <t>Exploratory Outcomes</t>
  </si>
  <si>
    <t>What Joe Biden would do as President?</t>
  </si>
  <si>
    <t>better_understand_biden_pot</t>
  </si>
  <si>
    <t>Saw news that made better understand what Joe Biden would do as President</t>
  </si>
  <si>
    <t>What Donald Trump has done as President?</t>
  </si>
  <si>
    <t>better_understand_trump_pot</t>
  </si>
  <si>
    <t>Saw news that made better understand what Donald Trump has done as President</t>
  </si>
  <si>
    <t>Q11</t>
  </si>
  <si>
    <t>Radio</t>
  </si>
  <si>
    <t>news_sub_radio</t>
  </si>
  <si>
    <t>Radio news use during treatment period</t>
  </si>
  <si>
    <t>Substitute news source use</t>
  </si>
  <si>
    <t>Local newspapers</t>
  </si>
  <si>
    <t>news_sub_localnewspaper</t>
  </si>
  <si>
    <t>Local newspaper use during treatment period</t>
  </si>
  <si>
    <t>Local TV channels</t>
  </si>
  <si>
    <t>news_sub_localtv</t>
  </si>
  <si>
    <t>Local TV use during treatment period</t>
  </si>
  <si>
    <t>Twitter</t>
  </si>
  <si>
    <t>news_sub_twitter</t>
  </si>
  <si>
    <t>Twitter use during treatment period</t>
  </si>
  <si>
    <t>Facebook</t>
  </si>
  <si>
    <t>news_sub_facebook</t>
  </si>
  <si>
    <t>Facebook use during treatment period</t>
  </si>
  <si>
    <t>The foxnews.com website</t>
  </si>
  <si>
    <t>news_sub_foxweb</t>
  </si>
  <si>
    <r>
      <rPr>
        <u/>
        <sz val="10"/>
        <color rgb="FF1155CC"/>
        <rFont val="Arial"/>
        <family val="2"/>
      </rPr>
      <t>foxnews.com</t>
    </r>
    <r>
      <rPr>
        <sz val="10"/>
        <rFont val="Arial"/>
        <family val="2"/>
      </rPr>
      <t xml:space="preserve"> use during treatment period</t>
    </r>
  </si>
  <si>
    <t>The cnn.com website</t>
  </si>
  <si>
    <t>news_sub_cnnweb</t>
  </si>
  <si>
    <r>
      <rPr>
        <u/>
        <sz val="10"/>
        <color rgb="FF1155CC"/>
        <rFont val="Arial"/>
        <family val="2"/>
      </rPr>
      <t>cnn.com</t>
    </r>
    <r>
      <rPr>
        <sz val="10"/>
        <rFont val="Arial"/>
        <family val="2"/>
      </rPr>
      <t xml:space="preserve"> use during treatment period</t>
    </r>
  </si>
  <si>
    <t>Breitbart</t>
  </si>
  <si>
    <t>news_sub_breitbart</t>
  </si>
  <si>
    <t>Breitbart use during treatment period</t>
  </si>
  <si>
    <t>One America News Network</t>
  </si>
  <si>
    <t>news_sub_oann</t>
  </si>
  <si>
    <t>One America News use during treatment period</t>
  </si>
  <si>
    <t>Discussions with friends and family</t>
  </si>
  <si>
    <t>news_sub_discussions</t>
  </si>
  <si>
    <t>News discussions with friends and family during treatment period</t>
  </si>
  <si>
    <t>Q12</t>
  </si>
  <si>
    <t>The media in general</t>
  </si>
  <si>
    <t>trust_media_in_general</t>
  </si>
  <si>
    <t>Trust the media in general</t>
  </si>
  <si>
    <t>Media Attitudes</t>
  </si>
  <si>
    <t>General Media Attitudes</t>
  </si>
  <si>
    <t>trust_fox</t>
  </si>
  <si>
    <t>Trust Fox News</t>
  </si>
  <si>
    <t>Fox Attitudes</t>
  </si>
  <si>
    <t>trust_msnbc</t>
  </si>
  <si>
    <t>Trust MSNBC</t>
  </si>
  <si>
    <t>trust_cnn</t>
  </si>
  <si>
    <t>Trust CNN</t>
  </si>
  <si>
    <t>CNN Attitudes</t>
  </si>
  <si>
    <t>Q13</t>
  </si>
  <si>
    <t>Fox News only covers news stories that help Republicans.</t>
  </si>
  <si>
    <t>news_eval_fox_help_gop</t>
  </si>
  <si>
    <t>CNN only covers news stories that help Democrats.</t>
  </si>
  <si>
    <t>news_eval_cnn_help_dem</t>
  </si>
  <si>
    <t>If Donald Trump did something bad, Fox News would discuss it.</t>
  </si>
  <si>
    <t>news_eval_fox_trump_bad</t>
  </si>
  <si>
    <t>If Joe Biden did something bad, CNN would discuss it.</t>
  </si>
  <si>
    <t>news_eval_cnn_biden_bad</t>
  </si>
  <si>
    <t>When covering important news stories, Fox News tells the whole story.</t>
  </si>
  <si>
    <t>news_eval_fox_whole</t>
  </si>
  <si>
    <t>When covering important news stories, CNN tells the whole story.</t>
  </si>
  <si>
    <t>news_eval_cnn_whole</t>
  </si>
  <si>
    <t>If I were to watch CNN next week, I would learn something important that I wouldn’t hear on Fox News.</t>
  </si>
  <si>
    <t>news_eval_cnn_learn</t>
  </si>
  <si>
    <t>CNN is good for society.</t>
  </si>
  <si>
    <t>news_eval_cnn_good</t>
  </si>
  <si>
    <t>Fox News is good for society.</t>
  </si>
  <si>
    <t>news_eval_fox_good</t>
  </si>
  <si>
    <t>If people spent some time watching CNN, they would realize it isn't as bad as they think.</t>
  </si>
  <si>
    <t>news_eval_cnn_not_as_bad</t>
  </si>
  <si>
    <t>Q14</t>
  </si>
  <si>
    <t>Watching Fox News</t>
  </si>
  <si>
    <t>enjoy_hourwatchingfox</t>
  </si>
  <si>
    <t>Would enjoy watching Fox News</t>
  </si>
  <si>
    <t>Watching CNN</t>
  </si>
  <si>
    <t>enjoy_hourwatchingcnn</t>
  </si>
  <si>
    <t>Would enjoy watching CNN</t>
  </si>
  <si>
    <t>Talking about politics with people who watch CNN</t>
  </si>
  <si>
    <t>enjoy_discuss_cnn</t>
  </si>
  <si>
    <t>Would enjoy talking about politics with people who watch CNN</t>
  </si>
  <si>
    <t>Affect towards Democratic voters</t>
  </si>
  <si>
    <t>Q15</t>
  </si>
  <si>
    <t>agenda_covid_vs_blm</t>
  </si>
  <si>
    <t>Violent protests are more important than COVID for President to focus on.</t>
  </si>
  <si>
    <t>Agenda Setting</t>
  </si>
  <si>
    <t>Code using numbers in scale</t>
  </si>
  <si>
    <t>Q16</t>
  </si>
  <si>
    <t>Managing the coronavirus pandemic</t>
  </si>
  <si>
    <t>trump_eval_manage_covid</t>
  </si>
  <si>
    <t>Partisan Attitudes</t>
  </si>
  <si>
    <t>Trump Evaluation</t>
  </si>
  <si>
    <t>Encouraging good relationships between different racial groups in the US</t>
  </si>
  <si>
    <t>trump_eval_race_relation</t>
  </si>
  <si>
    <t>Managing the economy</t>
  </si>
  <si>
    <t>trump_eval_manage_econ</t>
  </si>
  <si>
    <t>The environment and climate change</t>
  </si>
  <si>
    <t>trump_eval_enviro</t>
  </si>
  <si>
    <t>Ensuring the election is fair and that people trust the results</t>
  </si>
  <si>
    <t>trump_eval_fair_election</t>
  </si>
  <si>
    <t>Respecting the military</t>
  </si>
  <si>
    <t>trump_eval_respect_military</t>
  </si>
  <si>
    <t>Encouraging Americans to stay safe from and not spread the coronavirus</t>
  </si>
  <si>
    <t>trump_eval_safe_covid</t>
  </si>
  <si>
    <t>Overseeing the development of a vaccine for the coronavirus</t>
  </si>
  <si>
    <t>trump_eval_covid_vax</t>
  </si>
  <si>
    <t>Ensuring America does not get drawn into any unnecessary wars</t>
  </si>
  <si>
    <t>trump_eval_wars</t>
  </si>
  <si>
    <t>Q17</t>
  </si>
  <si>
    <t>The coronavirus pandemic</t>
  </si>
  <si>
    <t>issueimpt_covid</t>
  </si>
  <si>
    <t>The economy</t>
  </si>
  <si>
    <t>issueimpt_econ</t>
  </si>
  <si>
    <t>Healthcare</t>
  </si>
  <si>
    <t>issueimpt_healthcare</t>
  </si>
  <si>
    <t>issueimpt_climate</t>
  </si>
  <si>
    <t>Violence in American cities</t>
  </si>
  <si>
    <t>issueimpt_urbanviolence</t>
  </si>
  <si>
    <t>Danger to American values from people with extreme views on race</t>
  </si>
  <si>
    <t>issueimpt_raceviews</t>
  </si>
  <si>
    <t>Danger to America from socialism</t>
  </si>
  <si>
    <t>issueimpt_socialism</t>
  </si>
  <si>
    <t>The risk of fraud in the elections</t>
  </si>
  <si>
    <t>issueimpt_electionfraud</t>
  </si>
  <si>
    <t>Q18</t>
  </si>
  <si>
    <t>Blacks</t>
  </si>
  <si>
    <t>therm_blacks</t>
  </si>
  <si>
    <t>Racial Prejudice</t>
  </si>
  <si>
    <t>Whites</t>
  </si>
  <si>
    <t>therm_whites</t>
  </si>
  <si>
    <t>Hispanics</t>
  </si>
  <si>
    <t>therm_hispanics</t>
  </si>
  <si>
    <t>Asians</t>
  </si>
  <si>
    <t>therm_asians</t>
  </si>
  <si>
    <t>Muslims</t>
  </si>
  <si>
    <t>therm_muslims</t>
  </si>
  <si>
    <t>Illegal Immigrants</t>
  </si>
  <si>
    <t>therm_illegal_immigrants</t>
  </si>
  <si>
    <t>The Black Lives Matter movement</t>
  </si>
  <si>
    <t>therm_blm</t>
  </si>
  <si>
    <t>Q19</t>
  </si>
  <si>
    <t>President Donald Trump</t>
  </si>
  <si>
    <t>therm_trump</t>
  </si>
  <si>
    <t>Former Vice President Joe Biden</t>
  </si>
  <si>
    <t>therm_biden</t>
  </si>
  <si>
    <t>Biden Evaluation</t>
  </si>
  <si>
    <t>Democratic party voters</t>
  </si>
  <si>
    <t>therm_dem_voters</t>
  </si>
  <si>
    <t>Republican party voters</t>
  </si>
  <si>
    <t>therm_rep_voters</t>
  </si>
  <si>
    <t>Affect towards Republican voters</t>
  </si>
  <si>
    <t>Democratic party candidates and elected officials</t>
  </si>
  <si>
    <t>therm_dem_officials</t>
  </si>
  <si>
    <t>General Political Preferences</t>
  </si>
  <si>
    <t>Republican party candidates and elected officials</t>
  </si>
  <si>
    <t>therm_rep_officials</t>
  </si>
  <si>
    <t>Q20</t>
  </si>
  <si>
    <t>Journalists</t>
  </si>
  <si>
    <t>therm_journalists</t>
  </si>
  <si>
    <t>therm_fox</t>
  </si>
  <si>
    <t>therm_cnn</t>
  </si>
  <si>
    <t>New York Times</t>
  </si>
  <si>
    <t>therm_nyt</t>
  </si>
  <si>
    <t>Q21</t>
  </si>
  <si>
    <t>States should allow voters to vote by mail in the 2020 election.</t>
  </si>
  <si>
    <t>issueview_votebymail</t>
  </si>
  <si>
    <t>Issue Attitudes</t>
  </si>
  <si>
    <t>Covered Issue Attitudes</t>
  </si>
  <si>
    <t>Schools should be open for in-person classes right now.</t>
  </si>
  <si>
    <t>issueview_openschools</t>
  </si>
  <si>
    <t>COVID Attitudes</t>
  </si>
  <si>
    <t>Any remaining coronavirus restrictions on businesses such as restaurants, bars, and movie theaters should be removed; the rules for these businesses should all go back to normal.</t>
  </si>
  <si>
    <t>issueview_lift_covid_regs</t>
  </si>
  <si>
    <t>The government should refuse to do business with companies that teach their employees that America is a racist and sexist country.</t>
  </si>
  <si>
    <t>issueview_gov_contracts_rac</t>
  </si>
  <si>
    <t>Congress should do more to address global warming (also known as climate change).</t>
  </si>
  <si>
    <t>issueview_congress_globalwa</t>
  </si>
  <si>
    <t>Police should use force against protestors who refuse to comply with police orders.</t>
  </si>
  <si>
    <t>issueview_police_force</t>
  </si>
  <si>
    <t>Immigrants today strengthen our country because of their hard work and talents.</t>
  </si>
  <si>
    <t>issueview_immigr_strength</t>
  </si>
  <si>
    <t>Non-Covered Issue Attitudes</t>
  </si>
  <si>
    <t>Government is almost always wasteful and inefficient.</t>
  </si>
  <si>
    <t>issueview_gov_waste</t>
  </si>
  <si>
    <t>The government should do much more to help the needy.</t>
  </si>
  <si>
    <t>issueview_helpneedy</t>
  </si>
  <si>
    <t>Free trade agreements between the US and other countries have been a good thing.</t>
  </si>
  <si>
    <t>issueview_freetrade_good</t>
  </si>
  <si>
    <t>Q22</t>
  </si>
  <si>
    <t>The government could have done more early this year to stop the coronavirus from ever spreading so widely in the United States.</t>
  </si>
  <si>
    <t>covid_govt_more_past</t>
  </si>
  <si>
    <t>The sickness and death the coronavirus pandemic has caused in America is one of the greatest tragedies in American history.</t>
  </si>
  <si>
    <t>covid_great_tragedy</t>
  </si>
  <si>
    <t>The number of Americans with coronavirus has been falling quickly.</t>
  </si>
  <si>
    <t>covid_cases_falling</t>
  </si>
  <si>
    <t>The government should be doing more to stop the spread of coronavirus.</t>
  </si>
  <si>
    <t>covid_govt_more_future</t>
  </si>
  <si>
    <t>Many other countries have done a much better job of controlling the coronavirus than the United States government.</t>
  </si>
  <si>
    <t>covid_other_countries</t>
  </si>
  <si>
    <t>The coronavirus is not as dangerous as many people seem to think.</t>
  </si>
  <si>
    <t>covid_not_danger</t>
  </si>
  <si>
    <t>The coronavirus causes many people to experience serious long-term health problems that stay with them for months or longer.</t>
  </si>
  <si>
    <t>covid_longterm</t>
  </si>
  <si>
    <t>Donald Trump should probably take the coronavirus pandemic more seriously.</t>
  </si>
  <si>
    <t>covid_trump_moreserious</t>
  </si>
  <si>
    <t>Everyone in a grocery store should wear a mask.</t>
  </si>
  <si>
    <t>covid_wearmask</t>
  </si>
  <si>
    <t>Because of the risk of spreading coronavirus, Donald Trump and Joe Biden should not be holding campaign rallies.</t>
  </si>
  <si>
    <t>covid_norallies</t>
  </si>
  <si>
    <t>The coronavirus is still infecting huge numbers of Americans every day.</t>
  </si>
  <si>
    <t>covid_stillinfecting</t>
  </si>
  <si>
    <t>Wearing a mask is useless.</t>
  </si>
  <si>
    <t>covid_maskuseless</t>
  </si>
  <si>
    <t>I’m concerned that people I care about are going to catch the coronavirus.</t>
  </si>
  <si>
    <t>covid_peoplecarecatch</t>
  </si>
  <si>
    <t>I’m concerned that Donald Trump will order the government to approve a coronavirus vaccine before scientists are sure that it’s safe and that it works.</t>
  </si>
  <si>
    <t>covid_trumpvax_approve</t>
  </si>
  <si>
    <t>Q25</t>
  </si>
  <si>
    <t>expected_trump_vote</t>
  </si>
  <si>
    <t>Expected Trump Vote Share in 2020 Presidential Election</t>
  </si>
  <si>
    <t>Second Order Beliefs</t>
  </si>
  <si>
    <t>Negative (i.e., lower Trump vote share)</t>
  </si>
  <si>
    <t>Code as % of vote respondent expects Trump to get</t>
  </si>
  <si>
    <t>Q26</t>
  </si>
  <si>
    <t>Irish, Italian, Jewish and many other minorities overcame prejudice and worked their way up. Blacks should do the same without any special favors.</t>
  </si>
  <si>
    <t>raceresent_irishitalian</t>
  </si>
  <si>
    <t>Over the past few years, blacks have gotten less than they deserve.</t>
  </si>
  <si>
    <t>raceresent_lessthandeserve</t>
  </si>
  <si>
    <t>It’s really a matter of some people not trying hard enough; if blacks would only try harder they could be just as well off as whites.</t>
  </si>
  <si>
    <t>raceresent_nottrying</t>
  </si>
  <si>
    <t>White people in the US have certain advantages because of the color of their skin.</t>
  </si>
  <si>
    <t>raceresent_whiteadvantages</t>
  </si>
  <si>
    <t>Racial problems in the US are rare, isolated situations.</t>
  </si>
  <si>
    <t>raceresent_rare</t>
  </si>
  <si>
    <t>Q27</t>
  </si>
  <si>
    <t>Patriotic</t>
  </si>
  <si>
    <t>traits_dempatriotic</t>
  </si>
  <si>
    <t>Intelligent</t>
  </si>
  <si>
    <t>traits_demintelligent</t>
  </si>
  <si>
    <t>Honest</t>
  </si>
  <si>
    <t>traits_demhonest</t>
  </si>
  <si>
    <t>Open-minded</t>
  </si>
  <si>
    <t>traits_demopenminded</t>
  </si>
  <si>
    <t>Selfish</t>
  </si>
  <si>
    <t>traits_demselfish</t>
  </si>
  <si>
    <t>Mean</t>
  </si>
  <si>
    <t>traits_demmean</t>
  </si>
  <si>
    <t>Unreasonable</t>
  </si>
  <si>
    <t>traits_demunreasonable</t>
  </si>
  <si>
    <t>Q28</t>
  </si>
  <si>
    <t>traits_reppatriotic</t>
  </si>
  <si>
    <t>traits_repintelligent</t>
  </si>
  <si>
    <t>traits_rephonest</t>
  </si>
  <si>
    <t>traits_repopenminded</t>
  </si>
  <si>
    <t>traits_repselfish</t>
  </si>
  <si>
    <t>traits_repmean</t>
  </si>
  <si>
    <t>traits_repunreasonable</t>
  </si>
  <si>
    <t>Deviation from PAP on direciton variable coded: typo in PAP.</t>
  </si>
  <si>
    <t>Q29</t>
  </si>
  <si>
    <t>traits_trumppatriotic</t>
  </si>
  <si>
    <t>traits_trumpintelligent</t>
  </si>
  <si>
    <t>traits_trumphonest</t>
  </si>
  <si>
    <t>traits_trumpselfish</t>
  </si>
  <si>
    <t>traits_trumpmean</t>
  </si>
  <si>
    <t>Q30</t>
  </si>
  <si>
    <t>traits_bidenpatriotic</t>
  </si>
  <si>
    <t>traits_bidenintelligent</t>
  </si>
  <si>
    <t>traits_bidenhonest</t>
  </si>
  <si>
    <t>traits_bidenselfish</t>
  </si>
  <si>
    <t>traits_bidenmean</t>
  </si>
  <si>
    <t>Q31</t>
  </si>
  <si>
    <t>What Joe Biden has been saying about the ongoing protests has only made the protests more violent.</t>
  </si>
  <si>
    <t>selfview_biden_say_protests</t>
  </si>
  <si>
    <t>Views on Current Events</t>
  </si>
  <si>
    <t>Attitudes Towards Events Fox Covered</t>
  </si>
  <si>
    <t>Allowing so many people to vote by mail will inevitably lead to widespread fraud in the elections.</t>
  </si>
  <si>
    <t>selfview_vbm_lead_fraud</t>
  </si>
  <si>
    <t>Generally we categorize positive statements as views on current events and normative statements as issue attitudes; in this case, we see this positive statement as so clearly implying a normative one that we categorize it as an issue attitude.</t>
  </si>
  <si>
    <t>If I were walking down the street in New York City or Portland right now, it would probably feel like being in a war zone.</t>
  </si>
  <si>
    <t>selfview_cities_war_zones</t>
  </si>
  <si>
    <t>If Joe Biden is elected President, the protests in America’s cities will only get more violent.</t>
  </si>
  <si>
    <t>selfview_biden_elect_protes</t>
  </si>
  <si>
    <t>The Democratic Party’s views on race are so extreme, even most black people think they are harmful.</t>
  </si>
  <si>
    <t>selfview_blacks_dem_race</t>
  </si>
  <si>
    <t>If Joe Biden is elected President, we’ll see many more police get shot by Black Lives Matter activists.</t>
  </si>
  <si>
    <t>selfview_biden_blm_shot</t>
  </si>
  <si>
    <t>I think many Biden supporters are probably happy to see it when police officers get shot.</t>
  </si>
  <si>
    <t>selfview_biden_sup_pol_shot</t>
  </si>
  <si>
    <t>Climate change probably played a role in the recent wildfires on the West Coast.</t>
  </si>
  <si>
    <t>selfview_climate_contrib_fi</t>
  </si>
  <si>
    <t>Attitudes Towards Events CNN Covered</t>
  </si>
  <si>
    <t>Democrats are trying to steal the election with fraudulent mail-in ballots.</t>
  </si>
  <si>
    <t>selfview_dem_steal_election</t>
  </si>
  <si>
    <t>If Donald Trump is declared the loser of the election, he will accept the results.</t>
  </si>
  <si>
    <t>selfview_trump_accept_loss</t>
  </si>
  <si>
    <t>I support the recent protests against police (for example, “Black Lives Matter”).</t>
  </si>
  <si>
    <t>selfview_policeprotests</t>
  </si>
  <si>
    <t>Recent calls to “defund the police” have led to increases in violent crime in American cities.</t>
  </si>
  <si>
    <t>selfview_increasecrime</t>
  </si>
  <si>
    <t>Schools and companies should teach people about racism in the United States.</t>
  </si>
  <si>
    <t>selfview_teach_racism</t>
  </si>
  <si>
    <t>Blacks are treated just as fairly as whites when dealing with the police.</t>
  </si>
  <si>
    <t>selfview_blacks_treated_fai</t>
  </si>
  <si>
    <t>Global warming is happening.</t>
  </si>
  <si>
    <t>selfview_globalwarming_real</t>
  </si>
  <si>
    <t>I feel that I have a pretty good understanding of the important political issues facing our country.</t>
  </si>
  <si>
    <t>selfview_goodunderstanding</t>
  </si>
  <si>
    <t>Things have changed so much that I often feel like a stranger in my own country.</t>
  </si>
  <si>
    <t>selfview_feel_stranger</t>
  </si>
  <si>
    <t>Bartels Ethnic Antagonism</t>
  </si>
  <si>
    <t>A time will come when patriotic Americans have to take the law into their own hands.</t>
  </si>
  <si>
    <t>selfview_law_own_hand</t>
  </si>
  <si>
    <t>If elected president, Joe Biden will do whatever it is that radical left socialists like Alexandria Ocasio-Cortez and Bernie Sanders tell him to do.</t>
  </si>
  <si>
    <t>selfview_biden_radical</t>
  </si>
  <si>
    <t>I plan to vote by mail this year.</t>
  </si>
  <si>
    <t>selfview_plan_votebymail</t>
  </si>
  <si>
    <t>deviation from PAP: moved to Covered Issue Attitudes from the CNN Covered-Event Index, since Fox and CNN covered this</t>
  </si>
  <si>
    <t>Q32-Q35</t>
  </si>
  <si>
    <t>Party ID</t>
  </si>
  <si>
    <t>pid7</t>
  </si>
  <si>
    <t>Party Identification</t>
  </si>
  <si>
    <t>Positive (i.e., more Democratic)</t>
  </si>
  <si>
    <t>Re-code as standard 7-point PID scale (e.g., Republican -&gt; Strong, Republican -&gt; Not so strong, Neither -&gt; Lean Republican, etc.)</t>
  </si>
  <si>
    <t>Q36</t>
  </si>
  <si>
    <t>When possible, Republican politicians should try to compromise with Democratic politicians to get things done.</t>
  </si>
  <si>
    <t>norms_compromise</t>
  </si>
  <si>
    <t>Norms</t>
  </si>
  <si>
    <t>If a Republican governor of a state can't get cooperation from Democratic legislators to pass new laws, the Republican governor should issue executive orders on their own to accomplish their priorities.</t>
  </si>
  <si>
    <t>norms_execorders</t>
  </si>
  <si>
    <t>If a journalist accuses a Republican politician of misconduct without naming their sources, the journalist should be criminally investigated.</t>
  </si>
  <si>
    <t>norms_journalistcrime</t>
  </si>
  <si>
    <t>When they criticize political leaders, news organizations prevent political leaders from doing their jobs.</t>
  </si>
  <si>
    <t>norms_newscriticize</t>
  </si>
  <si>
    <t>The government should take CNN off the air.</t>
  </si>
  <si>
    <t>norms_takecnn_off</t>
  </si>
  <si>
    <t>Journalists must always be free to criticize our political leaders.</t>
  </si>
  <si>
    <t>norms_journalist_free_criti</t>
  </si>
  <si>
    <t>Q37</t>
  </si>
  <si>
    <t>Eliminate all funding for the police.</t>
  </si>
  <si>
    <t>issue_biden_policefund</t>
  </si>
  <si>
    <t>Perceptions of Current Events</t>
  </si>
  <si>
    <t>Biden Position Perception - Fox-Covered</t>
  </si>
  <si>
    <t>Support = 1, Oppose = 0, Not sure = 0.5</t>
  </si>
  <si>
    <t>Tear down statues of anyone who owned slaves, including George Washington.</t>
  </si>
  <si>
    <t>issue_biden_statue</t>
  </si>
  <si>
    <t>Create a new government insurance option like Medicare, allowing Americans to keep their private insurance if they want, but also allowing them to choose to have government health insurance if they want it instead.</t>
  </si>
  <si>
    <t>issue_biden_publicoption</t>
  </si>
  <si>
    <t>Biden Position Perception - CNN-Covered</t>
  </si>
  <si>
    <t>Increase taxes on corporations and wealthy people.</t>
  </si>
  <si>
    <t>issue_biden_increasetax</t>
  </si>
  <si>
    <t>Racial minorities should receive special treatment in hiring and college admissions to make up for past discrimination.</t>
  </si>
  <si>
    <t>issue_biden_affaction</t>
  </si>
  <si>
    <t>Substantially increase government spending by trillions of dollars over the next decade.</t>
  </si>
  <si>
    <t>issue_biden_increasespend</t>
  </si>
  <si>
    <t>Q38</t>
  </si>
  <si>
    <t>Open America's public schools for in-person classes this fall.</t>
  </si>
  <si>
    <t>issue_trump_schoolsfall</t>
  </si>
  <si>
    <t>Trump Position Perceptions - CNN-Covered</t>
  </si>
  <si>
    <t>Americans should wear masks in public.</t>
  </si>
  <si>
    <t>issue_trump_masks</t>
  </si>
  <si>
    <t>All Americans should be allowed to vote by mail.</t>
  </si>
  <si>
    <t>issue_trump_votebymail</t>
  </si>
  <si>
    <t>Repeal the law that prohibits insurance companies from charging people more if they have pre-existing medical conditions.</t>
  </si>
  <si>
    <t>issue_trump_preexisting</t>
  </si>
  <si>
    <t>issue_trump_increasetax</t>
  </si>
  <si>
    <t>Q39</t>
  </si>
  <si>
    <t>Trump said that he would accept the results of the election if he is declared the loser.</t>
  </si>
  <si>
    <t>truefalse_trump_accept_loss</t>
  </si>
  <si>
    <t>True = 1, False = 0; coding direction was missing in PAP</t>
  </si>
  <si>
    <t>Over 200,000 Americans have died from COVID-19.</t>
  </si>
  <si>
    <t>truefalse_over200k_covid</t>
  </si>
  <si>
    <t>The Department of Homeland Security recently warned that the Russian government is trying to undermine confidence in the 2020 election by promoting claims that mail-in voting encourages fraud.</t>
  </si>
  <si>
    <t>truefalse_dhs_russia_warnin</t>
  </si>
  <si>
    <t>Joe Biden has condemned violence at recent Black Lives Matter protests.</t>
  </si>
  <si>
    <t>truefalse_biden_condblmvio</t>
  </si>
  <si>
    <t>True = 1, False = 0; typo on coding direction in PAP</t>
  </si>
  <si>
    <t>President Donald Trump referred to US soldiers who died in combat and are buried at the Aisne-Marne cemetery as "losers" and "suckers."</t>
  </si>
  <si>
    <t>truefalse_trump_troops_lose</t>
  </si>
  <si>
    <t>True = 1, False = 0</t>
  </si>
  <si>
    <t>Donald Trump recently banned diversity trainings for government staff that incorporate teachings about “critical race theory” and “white privilege”.</t>
  </si>
  <si>
    <t>truefalse_trump_ban_divtrai</t>
  </si>
  <si>
    <t>Trump Position Perceptions - Fox-Covered</t>
  </si>
  <si>
    <t>Back in February, Donald Trump admitted privately that he knew the coronavirus was much more deadly than the flu.</t>
  </si>
  <si>
    <t>truefalse_trump_knew_covid</t>
  </si>
  <si>
    <t>A large number of former military leaders and former Republican leaders have endorsed Joe Biden for President.</t>
  </si>
  <si>
    <t>truefalse_mil_endorsebiden</t>
  </si>
  <si>
    <t>Russian President Vladimir Putin has been interfering in this year’s Presidential election to help Donald Trump.</t>
  </si>
  <si>
    <t>truefalse_putin_interfere</t>
  </si>
  <si>
    <t>There is much more violent crime in big cities in America than there used to be.</t>
  </si>
  <si>
    <t>truefalse_violentcrime</t>
  </si>
  <si>
    <t>It was recently discovered that many countries were making tests for COVID-19 as long ago as 2018, suggesting that some powerful people knew the coronavirus was coming many years ago.</t>
  </si>
  <si>
    <t>truefalse_covid_2018</t>
  </si>
  <si>
    <t>True = 1, False = 0. This measures vulnerability to misinformation in general. This piece of misinformation was not covered on either network.</t>
  </si>
  <si>
    <t>Billionaires have been paying to bail rioters out of jail so they can get back on the streets and continue rioting.</t>
  </si>
  <si>
    <t>truefalse_billionaires_riot</t>
  </si>
  <si>
    <t>Donald Trump’s campaign is taking significant safety precautions at its rallies to reduce the risk that rally attendees spread the coronavirus to each other.</t>
  </si>
  <si>
    <t>truefalse_trump_rally_safe</t>
  </si>
  <si>
    <t>Israel, the United Arab Emirates, and Bahrain recently signed a Middle East peace deal at the White House.</t>
  </si>
  <si>
    <t>truefalse_israeluae</t>
  </si>
  <si>
    <t xml:space="preserve">Donald Trump only paid $750 in federal income taxes the year he won the presidency. </t>
  </si>
  <si>
    <t>truefalse_trump_tax750</t>
  </si>
  <si>
    <t>True = 1, False = 0: NOT IN PAP</t>
  </si>
  <si>
    <t>Q40</t>
  </si>
  <si>
    <t>Yourself</t>
  </si>
  <si>
    <t>ideo_self</t>
  </si>
  <si>
    <t>Negative (i.e., more liberal)</t>
  </si>
  <si>
    <t>Code using numbers in scale (higher values more conservative). PAP had wrong direction.</t>
  </si>
  <si>
    <t>The Average American</t>
  </si>
  <si>
    <t>ideo_avgamerican</t>
  </si>
  <si>
    <t>Code using numbers in scale (higher values more conservative).</t>
  </si>
  <si>
    <t>The Average Person who Votes for Democrats</t>
  </si>
  <si>
    <t>ideo_demvoter</t>
  </si>
  <si>
    <t>Recode as distance from placement of self pre-treatment. First, code this variable using numbers in scale (higher values more conservative). Next, calculate placement of self pre-treatment as average of t0 and t1 self-placement. Finally, this variable will be abs(variable value - average of t0 and t1 ideological self placement).</t>
  </si>
  <si>
    <t>The Average Person who Votes for Republicans</t>
  </si>
  <si>
    <t>ideo_repvoter</t>
  </si>
  <si>
    <t>Q41</t>
  </si>
  <si>
    <t>ideo_trump</t>
  </si>
  <si>
    <t>ideo_biden</t>
  </si>
  <si>
    <t>The Media in General</t>
  </si>
  <si>
    <t>ideo_media</t>
  </si>
  <si>
    <t>ideo_cnn</t>
  </si>
  <si>
    <t>ideo_fox</t>
  </si>
  <si>
    <t>ideo_msnbc</t>
  </si>
  <si>
    <t>Q42</t>
  </si>
  <si>
    <t>Fox and Friends, America's Newsroom, The Five, Special Report with Bret Baier (all columns)</t>
  </si>
  <si>
    <t>fox_sept_nontreatshows</t>
  </si>
  <si>
    <t>During-Treatment Viewership of Fox Shows Not During Incentivized Hours</t>
  </si>
  <si>
    <t>Count number of boxes checked.</t>
  </si>
  <si>
    <t>The Story, Tucker Carlson, Hannity, Ingraham Angle (all columns)</t>
  </si>
  <si>
    <t>fox_sept_treatshows</t>
  </si>
  <si>
    <t>During-Treatment Viewership of Fox Shows During Incentivized Hours</t>
  </si>
  <si>
    <t>Q43-6</t>
  </si>
  <si>
    <t>2020 Presidential Election Candidate Support Scale</t>
  </si>
  <si>
    <t>potus_vote_2020</t>
  </si>
  <si>
    <t>1 = Trump -&gt; Strong, 2 = Trump -&gt; Not strong, 3 = Neither Trump or Biden -&gt; Lean Trump, etc., to 7 = Biden -&gt; Strong</t>
  </si>
  <si>
    <t>Q47</t>
  </si>
  <si>
    <t>watch_future_fox</t>
  </si>
  <si>
    <t>Likely to watch Fox News in the future</t>
  </si>
  <si>
    <t>Negative (i.e., less likely)</t>
  </si>
  <si>
    <t>watch_future_cnn</t>
  </si>
  <si>
    <t>Likely to watch CNN in the future</t>
  </si>
  <si>
    <t>Positive (i.e., more likely)</t>
  </si>
  <si>
    <t>Q50</t>
  </si>
  <si>
    <t>Did you like watching CNN more than you expected or did you dislike watching it more than you expected?</t>
  </si>
  <si>
    <t>Asked of treatment group only. We will present the cross-tab.</t>
  </si>
  <si>
    <t>1 (not in FDR set because treatment effect cannot be computed on this item)</t>
  </si>
  <si>
    <t>V</t>
  </si>
  <si>
    <t>log(CNN minutes + 1) for all data from first to last incentivized day</t>
  </si>
  <si>
    <t>We will graphically show the results by week during the incentivized period.</t>
  </si>
  <si>
    <t>log(CNN minutes + 1) for every week following the quizzes, with the first week beginning with the day after the last quiz (Saturday, Sept 26)</t>
  </si>
  <si>
    <t>log(CNN minutes + 1) for the period between Saturday, Sept 26 and when the viewership data ends</t>
  </si>
  <si>
    <t>log(Fox minutes + 1) for every week following the quizzes, with the first week beginning with the day after the last quiz (Saturday, Sept 26)</t>
  </si>
  <si>
    <t>log(Fox minutes + 1) for the period between Saturday, Sept 26 and when the viewership data ends</t>
  </si>
  <si>
    <t>log(All TV minutes + 1) for every week following the quizzes, with the first week beginning with the day after the last quiz (Saturday, Sept 26)</t>
  </si>
  <si>
    <t>log(All TV minutes + 1) for the period between Saturday, Sept 26 and when the viewership data ends</t>
  </si>
  <si>
    <t>Keep for endline?</t>
  </si>
  <si>
    <t>Changes Made Between Midline and Endline</t>
  </si>
  <si>
    <r>
      <rPr>
        <u/>
        <sz val="10"/>
        <color rgb="FF1155CC"/>
        <rFont val="Arial"/>
        <family val="2"/>
      </rPr>
      <t>foxnews.com</t>
    </r>
    <r>
      <rPr>
        <sz val="10"/>
        <rFont val="Arial"/>
        <family val="2"/>
      </rPr>
      <t xml:space="preserve"> use during treatment period</t>
    </r>
  </si>
  <si>
    <r>
      <rPr>
        <u/>
        <sz val="10"/>
        <color rgb="FF1155CC"/>
        <rFont val="Arial"/>
        <family val="2"/>
      </rPr>
      <t>cnn.com</t>
    </r>
    <r>
      <rPr>
        <sz val="10"/>
        <rFont val="Arial"/>
        <family val="2"/>
      </rPr>
      <t xml:space="preserve"> use during treatment period</t>
    </r>
  </si>
  <si>
    <t>change to: States should allow voters to vote by mail.</t>
  </si>
  <si>
    <t>Because of the risk of spreading coronavirus, Donald Trump and Joe Biden should not have held campaign rallies.</t>
  </si>
  <si>
    <t>change to: Allowing so many people to vote by mail inevitably leads to widespread fraud in elections.</t>
  </si>
  <si>
    <t>change to: I would vote by mail in the next election.</t>
  </si>
  <si>
    <t>Attitudes Towards Events</t>
  </si>
  <si>
    <t>fox_lastmonth_nontreatshows</t>
  </si>
  <si>
    <t>Post-Treatment Viewership of Fox Shows Not During Incentivized Hours</t>
  </si>
  <si>
    <t>Removed (in September)</t>
  </si>
  <si>
    <t>fox_lastmonth_treatshows</t>
  </si>
  <si>
    <t>Post-Treatment Viewership of Fox Shows During Incentivized Hours</t>
  </si>
  <si>
    <t>Post-Treatment Fox News Viewership</t>
  </si>
  <si>
    <t>2020 Presidential Election Vote Choice</t>
  </si>
  <si>
    <t>change to last week</t>
  </si>
  <si>
    <t>CNN Min Watched Per Week During Last Week</t>
  </si>
  <si>
    <t>MSNBC Min Watched Per Week During Last Week</t>
  </si>
  <si>
    <t>hours_yesterdaymsnbc</t>
  </si>
  <si>
    <t>Hrs of MSNBC Watched Yesterday</t>
  </si>
  <si>
    <t>add</t>
  </si>
  <si>
    <t>Not an outcome, just for the general population survey</t>
  </si>
  <si>
    <t>Q46</t>
  </si>
  <si>
    <t>When I speak about the Republican party, I usually say “we” instead of “they”.</t>
  </si>
  <si>
    <t>huddy_idwhenispeak</t>
  </si>
  <si>
    <t>Partisan Identity: We vs. They</t>
  </si>
  <si>
    <t>Huddy Partisan Identity</t>
  </si>
  <si>
    <t>When people criticize the Republican party, it feels like a personal insult.</t>
  </si>
  <si>
    <t>huddy_idwhenpeoplecrit</t>
  </si>
  <si>
    <t>Partisan Identity: Criticism is a personal insult</t>
  </si>
  <si>
    <t>I have a lot in common with other supporters of the Republican party.</t>
  </si>
  <si>
    <t>huddy_idihavealot</t>
  </si>
  <si>
    <t>Partisan Identity: Lot in common with other supporters</t>
  </si>
  <si>
    <t>When I meet someone who supports the Republican party, I feel connected with this person.</t>
  </si>
  <si>
    <t>huddy_idwhenimeet</t>
  </si>
  <si>
    <t>Partisan Identity: Feel connected with other Republicans</t>
  </si>
  <si>
    <t>When I speak about the Republican party, I refer to them as “my party”.</t>
  </si>
  <si>
    <t>huddy_idmyparty</t>
  </si>
  <si>
    <t>Partisan Identity: Republican party is my party</t>
  </si>
  <si>
    <t>When people praise the Republican party, it makes me feel good.</t>
  </si>
  <si>
    <t>huddy_idpeoplepraise</t>
  </si>
  <si>
    <t>Partisan Identity: Praise makes me feel good</t>
  </si>
  <si>
    <t>If Kamala Harris encouraged Black Lives Matter protesters to violently attack Trump supporters.</t>
  </si>
  <si>
    <t>foxcov_kamalablm</t>
  </si>
  <si>
    <t>Fox Would Cover: Harris encouraging BLM violence</t>
  </si>
  <si>
    <t>These are filler to make the question seem less one-sided.</t>
  </si>
  <si>
    <t>If Joe Biden planned to raise taxes on small businesses.</t>
  </si>
  <si>
    <t>foxcov_bidenraise</t>
  </si>
  <si>
    <t>Fox Would Cover: Biden planning tax increases</t>
  </si>
  <si>
    <t>If Donald Trump instructed the government to spend more money at his hotels, putting more government money in his own pocket.</t>
  </si>
  <si>
    <t>foxcov_trumphotel</t>
  </si>
  <si>
    <t>Fox Would Cover: Trump spending government money at his hotels</t>
  </si>
  <si>
    <t>Fox Coverage Filtering Perceptions</t>
  </si>
  <si>
    <t>If Donald Trump instructed the government not to send coronavirus vaccines to places that voted for Joe Biden.</t>
  </si>
  <si>
    <t>foxcov_trumpvax</t>
  </si>
  <si>
    <t>Fox Would Cover: Trump not sending vaccines to Biden areas</t>
  </si>
  <si>
    <t>If Donald Trump didn’t show up to important meetings because he was golfing.</t>
  </si>
  <si>
    <t>foxcov_trumpgolf</t>
  </si>
  <si>
    <t>Fox Would Cover: Trump golfing rather than working</t>
  </si>
  <si>
    <t>If Donald Trump told Americans sick with coronavirus to attend Thanksgiving dinners with their families anyway.</t>
  </si>
  <si>
    <t>foxcov_tgivingcovid</t>
  </si>
  <si>
    <t>Fox Would Cover: Trump encouraging Americans sick with COVID to attend Thanksgiving dinner</t>
  </si>
  <si>
    <t>If the CIA told Donald Trump that North Korea developed a dangerous nuclear missile that could strike America, and then Donald Trump lied to the American people by saying it was not dangerous.</t>
  </si>
  <si>
    <t>foxcov_trumpciakorea</t>
  </si>
  <si>
    <t>Fox Would Cover: Trump misleading American people</t>
  </si>
  <si>
    <t>Q43</t>
  </si>
  <si>
    <t>Attended a political rally, speech, or campaign event</t>
  </si>
  <si>
    <t>act_attend_rally</t>
  </si>
  <si>
    <t>Attend a rally or campaign event</t>
  </si>
  <si>
    <t>Attended an organized protest of any kind</t>
  </si>
  <si>
    <t>act_attend_protest</t>
  </si>
  <si>
    <t>Attend a protest</t>
  </si>
  <si>
    <t>Worked or volunteered for a political party, candidate, or campaign</t>
  </si>
  <si>
    <t>act_work_campaign</t>
  </si>
  <si>
    <t>Work or volunteer for a campaign</t>
  </si>
  <si>
    <t>Been an active member of any group that tries to influence public policy or government, not including a political party</t>
  </si>
  <si>
    <t>act_active_group</t>
  </si>
  <si>
    <t>Be an active member of a political group</t>
  </si>
  <si>
    <t>Contacted any elected official</t>
  </si>
  <si>
    <t>act_contact_official</t>
  </si>
  <si>
    <t>Contact an elected official</t>
  </si>
  <si>
    <t>Contributed money to a candidate running for public office or to a group working to elect a candidate</t>
  </si>
  <si>
    <t>act_contrib_money</t>
  </si>
  <si>
    <t>Donate money to a political cause</t>
  </si>
  <si>
    <t>Displayed a poster or bumper-sticker or worn clothing or a button related to a political campaign</t>
  </si>
  <si>
    <t>act_displayed_poster</t>
  </si>
  <si>
    <t>Display a poster, bumper-sticker, or button</t>
  </si>
  <si>
    <t>Publicly expressed your support for a political campaign on Facebook, Twitter or other social media</t>
  </si>
  <si>
    <t>act_expressed_support</t>
  </si>
  <si>
    <t>Express political views on social media</t>
  </si>
  <si>
    <t>Discussed politics with friends or family</t>
  </si>
  <si>
    <t>act_discuss_politics</t>
  </si>
  <si>
    <t>Discuss politics with friends and family</t>
  </si>
  <si>
    <t>Tried to persuade somebody about a candidate for political office or a political issue</t>
  </si>
  <si>
    <t>act_persuade</t>
  </si>
  <si>
    <t>Try to persuade someone about politics</t>
  </si>
  <si>
    <t>Q45</t>
  </si>
  <si>
    <t>Fauci approval</t>
  </si>
  <si>
    <t>fauci_approval</t>
  </si>
  <si>
    <t>Joe Biden supports a national coronavirus “lockdown.”</t>
  </si>
  <si>
    <t>endi_biden_lockdwn</t>
  </si>
  <si>
    <t>Biden supports: National coronavirus lockdown</t>
  </si>
  <si>
    <t>Attitudes Towards Post-Incentivized Period Events</t>
  </si>
  <si>
    <t>“Locking down” communities keeps people safe from coronavirus.</t>
  </si>
  <si>
    <t>endi_lockdwn_safe</t>
  </si>
  <si>
    <t>Locking down communities keeps people safe from coronavirus</t>
  </si>
  <si>
    <t>Joe Biden’s son Hunter Biden is seriously corrupt.</t>
  </si>
  <si>
    <t>endi_hunter_corrupt</t>
  </si>
  <si>
    <t>If we threw out the fraudulent votes, Donald Trump would have been declared the winner of the 2020 election.</t>
  </si>
  <si>
    <t>endi_trump_won</t>
  </si>
  <si>
    <t>The Trump campaign should keep asking questions about whether there was widespread fraud in the election.</t>
  </si>
  <si>
    <t>endi_question_election</t>
  </si>
  <si>
    <t>I am worried that illegal votes are being counted in the 2020 presidential election.</t>
  </si>
  <si>
    <t>endi_worried_illegal</t>
  </si>
  <si>
    <t>There was widespread fraud in the 2020 presidential election.</t>
  </si>
  <si>
    <t>endi_wide_fraud</t>
  </si>
  <si>
    <t>Many of the votes that were cast in the 2020 presidential election should not be counted.</t>
  </si>
  <si>
    <t>endi_votes_not_count</t>
  </si>
  <si>
    <t>Donald Trump should admit he lost the 2020 presidential election.</t>
  </si>
  <si>
    <t>endi_trump_admit</t>
  </si>
  <si>
    <t>Big technology companies, such as Facebook and Twitter, are biased against Republicans and conservatives.</t>
  </si>
  <si>
    <t>endi_big_tech_bias</t>
  </si>
  <si>
    <t>What would someone need to pay you to watch an hour of CNN next week?</t>
  </si>
  <si>
    <t>foxwta</t>
  </si>
  <si>
    <t>Payment required to watch an hour of CNN</t>
  </si>
  <si>
    <t>Name in PAP</t>
  </si>
  <si>
    <t>Index Display Name (If Different)</t>
  </si>
  <si>
    <t>Index Group</t>
  </si>
  <si>
    <t>Liberal Perceptions of Events Fox Covered (Non-COVID)</t>
  </si>
  <si>
    <t>Current Event Perceptions</t>
  </si>
  <si>
    <t>Liberal Perceptions of Events CNN Covered (Non-COVID)</t>
  </si>
  <si>
    <t>CNN (vs. Fox)-Consistent Issue Importance</t>
  </si>
  <si>
    <t>Liberal Preferences on Covered Issues</t>
  </si>
  <si>
    <t>Liberal Preferences on Non-Covered Issues</t>
  </si>
  <si>
    <t>Candidate Perceptions</t>
  </si>
  <si>
    <t>Reduced Knowledge of Fox-Covered Trump Positions</t>
  </si>
  <si>
    <t>Increased Knowledge of CNN-Covered Biden Positions</t>
  </si>
  <si>
    <t>Increased Knowledge of CNN-Covered Trump Positions</t>
  </si>
  <si>
    <t>Reduced Trump Evaluation</t>
  </si>
  <si>
    <t>Partisan Evaluations</t>
  </si>
  <si>
    <t>Democratic-Leaning General Political Preferences</t>
  </si>
  <si>
    <t>Unfavorable Fox Attitudes</t>
  </si>
  <si>
    <t>Favorable CNN Attitudes</t>
  </si>
  <si>
    <t>Self-reported Substitute News Source Use</t>
  </si>
  <si>
    <t>Self-Reported Media Use</t>
  </si>
  <si>
    <t>Self-reported Reduced During-Treatment Fox News Viewership</t>
  </si>
  <si>
    <t>Affective Polarization</t>
  </si>
  <si>
    <t>Reduced Affect towards Republican voters</t>
  </si>
  <si>
    <t>Second Order Beliefs about Liberalism of Average American</t>
  </si>
  <si>
    <t>Other</t>
  </si>
  <si>
    <t>Support for Democratic Norms</t>
  </si>
  <si>
    <t>Reduced Racial Prejudice</t>
  </si>
  <si>
    <t>Reduced Ethnic Antagonism</t>
  </si>
  <si>
    <t>Partisan Identity</t>
  </si>
  <si>
    <t>Self-reported Reduced Post-Treatment Fox News Viewership</t>
  </si>
  <si>
    <t>Week</t>
  </si>
  <si>
    <t>All</t>
  </si>
  <si>
    <t>I enjoyed watching TV</t>
  </si>
  <si>
    <t>tv_enjoyed</t>
  </si>
  <si>
    <t>TV Experience</t>
  </si>
  <si>
    <t>1 if selected; 0 if not selected or if they didn't watch TV yesterday (Q10)</t>
  </si>
  <si>
    <t>I learned something new on TV</t>
  </si>
  <si>
    <t>tv_learned</t>
  </si>
  <si>
    <t>I was surprised by what I saw on TV</t>
  </si>
  <si>
    <t>tv_surprised</t>
  </si>
  <si>
    <t>Q44</t>
  </si>
  <si>
    <t>Week 1</t>
  </si>
  <si>
    <t>Major media outlets are responsible for encouraging the violent protests that occurred last week.</t>
  </si>
  <si>
    <t>selfview_media_resp_kenosha</t>
  </si>
  <si>
    <t>Agree/Disagree</t>
  </si>
  <si>
    <t>Attitudes Towards Events During Incentivized Period - Week 1</t>
  </si>
  <si>
    <t>It is an overreaction to go out and protest in response to the police shooting of Jacob Blake in Kenosha, Wisconsin.</t>
  </si>
  <si>
    <t>selfview_protests_blake</t>
  </si>
  <si>
    <t>Former National Security Advisor Michael Flynn should have his guilty plea of lying under oath thrown out and he should be released immediately.</t>
  </si>
  <si>
    <t>selfview_flynn_release</t>
  </si>
  <si>
    <t>PAP had typo, should be negative</t>
  </si>
  <si>
    <t>It is not appropriate for a sitting Secretary of State to speak at a political convention.</t>
  </si>
  <si>
    <t>selfview_secstate_notapprop</t>
  </si>
  <si>
    <t>PAP had typo, should be positive</t>
  </si>
  <si>
    <t>Donald Trump's visit to Kenosha, Wisconsin will help calm the situation in the city.</t>
  </si>
  <si>
    <t>selfview_trump_calm_kenosha</t>
  </si>
  <si>
    <t>Week 2</t>
  </si>
  <si>
    <t>Attitudes Towards Events During Incentivized Period - Week 2</t>
  </si>
  <si>
    <t>There is a risk that the government will approve a vaccine for COVID-19 before it is proven to be safe and effective.</t>
  </si>
  <si>
    <t>selfview_risk_vax_too_early</t>
  </si>
  <si>
    <t>I think Donald Trump probably did have a series of small strokes last year.</t>
  </si>
  <si>
    <t>selfview_trump_had_strokes</t>
  </si>
  <si>
    <t>Week 3</t>
  </si>
  <si>
    <t>selfview_no_campaign_rallie</t>
  </si>
  <si>
    <t>Attitudes Towards Events During Incentivized Period - Week 3</t>
  </si>
  <si>
    <t>Given what he knew about the coronavirus back in February, President Trump probably should have more strongly warned Americans about the coronavirus.</t>
  </si>
  <si>
    <t>selfview_trump_shldhvwrnd</t>
  </si>
  <si>
    <t>If elected President, Joe Biden would be more likely to start another war in the next four years than Donald Trump.</t>
  </si>
  <si>
    <t>selfview_biden_start_war</t>
  </si>
  <si>
    <t>If I were walking down the street in cities like Portland right now, it would probably feel like being in a war zone.</t>
  </si>
  <si>
    <t>selfview_covid_infecting_ma</t>
  </si>
  <si>
    <t>California’s bad forestry management, and not climate change, is the primary cause of their wildfires.</t>
  </si>
  <si>
    <t>selfview_fires_not_climate</t>
  </si>
  <si>
    <t>Joe Biden’s positions are now about as far left as the most radical and socialist politicians out there.</t>
  </si>
  <si>
    <t>selfview_biden_far_left</t>
  </si>
  <si>
    <t>Week 4</t>
  </si>
  <si>
    <t>President Trump should wait to nominate a Supreme Court Justice to replace Ruth Bader Ginsburg; instead, the winner of this November’s presidential election should pick the nominee -- whether that is Trump or Biden.</t>
  </si>
  <si>
    <t>selfview_trump_wait_nominat</t>
  </si>
  <si>
    <t>Attitudes Towards Events During Incentivized Period - Week 4</t>
  </si>
  <si>
    <t>Donald Trump should nominate a Supreme Court Justice who will overturn Roe v. Wade, the court case that gives women a constiutional right to receive an abortion.</t>
  </si>
  <si>
    <t>selfview_nominee_overturn_r</t>
  </si>
  <si>
    <t>Coronavirus cases are falling quickly in America and the virus will be basically gone fairly soon.</t>
  </si>
  <si>
    <t>selfview_covid_gone_soon</t>
  </si>
  <si>
    <t>If Joe Biden is elected President, we’ll see many police get shot by Black Lives Matter activists.</t>
  </si>
  <si>
    <t>There’s a good chance that the coronavirus was actually man-made in a Chinese laboratory.</t>
  </si>
  <si>
    <t>selfview_covid_manmade</t>
  </si>
  <si>
    <t>The Republican National Convention had to pull a speaker from its lineup because it was revealed that she had shared anti-Jewish conspiracy theories on social media.</t>
  </si>
  <si>
    <t>truefalse_rnc_antisem</t>
  </si>
  <si>
    <t>T/F</t>
  </si>
  <si>
    <t>Current Event Perceptions During Incentivized Period - Week 1</t>
  </si>
  <si>
    <t>The protests in Kenosha, Wisconsin last week did not destroy any property.</t>
  </si>
  <si>
    <t>truefalse_kenosha_property</t>
  </si>
  <si>
    <t>Jacob Blake, who was recently shot by police in Kenosha, Wisconsin, was armed with a knife and had engaged in a violent struggle with officers moments before officers shot him.</t>
  </si>
  <si>
    <t>truefalse_blake_armed</t>
  </si>
  <si>
    <t>Kyle Rittenhouse, the 17-year-old who shot and killed two people at the Kenosha protest, is a Trump supporter.</t>
  </si>
  <si>
    <t>truefalse_rittenhouse_trump</t>
  </si>
  <si>
    <t>Joe Biden expressed support for the protests that occurred last week in Kenosha, Wisconsin.</t>
  </si>
  <si>
    <t>truefalse_biden_sup_kenosha</t>
  </si>
  <si>
    <t>Over 187,000 Americans have died from COVID-19.</t>
  </si>
  <si>
    <t>truefalse_over187k_covid</t>
  </si>
  <si>
    <t>Current Event Perceptions During Incentivized Period - Week 2</t>
  </si>
  <si>
    <t>When he visited Kenosha, Wisconsin, Donald Trump met with the family of Jacob Blake, the 29-year-old African American man who was shot by local police.</t>
  </si>
  <si>
    <t>truefalse_trump_met_blake</t>
  </si>
  <si>
    <t>Donald Trump condemned his supporters who fired paintball guns at Black Lives Matters protestors.</t>
  </si>
  <si>
    <t>truefalse_trump_condem_pbal</t>
  </si>
  <si>
    <t>Donald Trump said that people have seen planes full of “looters” and “thugs” who are “looking for trouble” flying into cities experiencing protests.</t>
  </si>
  <si>
    <t>truefalse_trump_plane_loote</t>
  </si>
  <si>
    <t>Nancy Pelosi recently got a haircut in San Francisco but did not wear a mask, in violation of local health regulations.</t>
  </si>
  <si>
    <t>truefalse_pelosi_haircut</t>
  </si>
  <si>
    <t>The Department of Homeland Security recently warned that the Russian government is promoting claims that mail-in voting encourages fraud in order to undermine confidence in the 2020 election.</t>
  </si>
  <si>
    <t>Joe Biden issued a statement condemning violence by Black Lives Matter activists.</t>
  </si>
  <si>
    <t>Most polls show that the Presidential election is basically tied between Trump and Biden in key swing states.</t>
  </si>
  <si>
    <t>truefalse_election_tied</t>
  </si>
  <si>
    <t>Current Event Perceptions During Incentivized Period - Week 3</t>
  </si>
  <si>
    <t>Donald Trump last week banned diversity trainings for government staff that incorporate teachings about “critical race theory” and “white privilege”.</t>
  </si>
  <si>
    <t>Members of the Mueller investigation into Russian interference in the 2016 election intentionally "wiped" their phones, in violation of federal record keeping laws.</t>
  </si>
  <si>
    <t>truefalse_mueller_wiped</t>
  </si>
  <si>
    <t>Last week, Israel, the United Arab Emirates, and Bahrain signed a Middle East peace deal at the White House.</t>
  </si>
  <si>
    <t>Current Event Perceptions During Incentivized Period - Week 4</t>
  </si>
  <si>
    <t>Olivia Troye, a former counterterrorism adviser to Vice President Pence, endorsed Joe Biden for President.</t>
  </si>
  <si>
    <t>truefalse_troye_endorse_bid</t>
  </si>
  <si>
    <t>In 2016, Senator Lindsey Graham said that presidents should not nominate Supreme Court justices in a Presidential election year.</t>
  </si>
  <si>
    <t>truefalse_graham_scotus</t>
  </si>
  <si>
    <t>The person who shot two police officers in Los Angeles said he was inspired by the Black Lives Matter movement to do so.</t>
  </si>
  <si>
    <t>truefalse_shooter_blm_insp</t>
  </si>
  <si>
    <t>Elementary schools across America are now teaching children to believe the key messages of the Black Lives Matter movement.</t>
  </si>
  <si>
    <t>truefalse_school_teach_blm</t>
  </si>
  <si>
    <t>Negative news about Donald Trump</t>
  </si>
  <si>
    <t>news_trump_neg</t>
  </si>
  <si>
    <t>Partisan Valence of News Exposure</t>
  </si>
  <si>
    <t>1 if selected; 0 otherwise</t>
  </si>
  <si>
    <t>Positive news about Donald Trump</t>
  </si>
  <si>
    <t>news_trump_pos</t>
  </si>
  <si>
    <t>Negative news about Joe Biden</t>
  </si>
  <si>
    <t>news_biden_neg</t>
  </si>
  <si>
    <t>Positive news about Joe Biden</t>
  </si>
  <si>
    <t>news_biden_pos</t>
  </si>
  <si>
    <t>Happy</t>
  </si>
  <si>
    <t>happy</t>
  </si>
  <si>
    <t>Emotion</t>
  </si>
  <si>
    <t>Short-Term Emotion Index</t>
  </si>
  <si>
    <t>Use numeric values from survey, 1-7</t>
  </si>
  <si>
    <t>Anxious</t>
  </si>
  <si>
    <t>anxious</t>
  </si>
  <si>
    <t>Stem</t>
  </si>
  <si>
    <t>Question</t>
  </si>
  <si>
    <t>Coding</t>
  </si>
  <si>
    <t>finished_survey</t>
  </si>
  <si>
    <t>Did this respondent fully complete the survey</t>
  </si>
  <si>
    <t>0 = no; 1 = yes</t>
  </si>
  <si>
    <t>survey_date</t>
  </si>
  <si>
    <t>Date survey was started</t>
  </si>
  <si>
    <t>Stata date</t>
  </si>
  <si>
    <t>pass_ac1</t>
  </si>
  <si>
    <t>Pass the first attention check (select both Extremely and Not at all likely)</t>
  </si>
  <si>
    <t>0 = fail; 1 = pass</t>
  </si>
  <si>
    <t>pass_ac2</t>
  </si>
  <si>
    <t>Pass the second attention check (type attention in box)</t>
  </si>
  <si>
    <t>0 = fail; 1 = pass or not asked (because passed the first attention check)</t>
  </si>
  <si>
    <t>past_week_abc</t>
  </si>
  <si>
    <t>Please click on all of the sources that you got political and election news from in the past week. This includes any way that you can get the source. If you are unsure, please DO NOT click it...ABC News</t>
  </si>
  <si>
    <t>0 = watch; 1 = not watch</t>
  </si>
  <si>
    <t>past_week_cbs</t>
  </si>
  <si>
    <t>Please click on all of the sources that you got political and election news from in the past week. This includes any way that you can get the source. If you are unsure, please DO NOT click it..CBS News</t>
  </si>
  <si>
    <t>past_week_nbc</t>
  </si>
  <si>
    <t>Please click on all of the sources that you got political and election news from in the past week. This includes any way that you can get the source. If you are unsure, please DO NOT click it..NBC News</t>
  </si>
  <si>
    <t>past_week_npr</t>
  </si>
  <si>
    <t>Please click on all of the sources that you got political and election news from in the past week. This includes any way that you can get the source. If you are unsure, please DO NOT click it..NPR</t>
  </si>
  <si>
    <t>past_week_fox</t>
  </si>
  <si>
    <t>Please click on all of the sources that you got political and election news from in the past week. This includes any way that you can get the source. If you are unsure, please DO NOT click it..Fox News</t>
  </si>
  <si>
    <t>past_week_msnbc</t>
  </si>
  <si>
    <t>Please click on all of the sources that you got political and election news from in the past week. This includes any way that you can get the source. If you are unsure, please DO NOT click it..MSNBC</t>
  </si>
  <si>
    <t>past_week_usa</t>
  </si>
  <si>
    <t>Please click on all of the sources that you got political and election news from in the past week. This includes any way that you can get the source. If you are unsure, please DO NOT click it..USA Today</t>
  </si>
  <si>
    <t>past_week_cnn</t>
  </si>
  <si>
    <t>Please click on all of the sources that you got political and election news from in the past week. This includes any way that you can get the source. If you are unsure, please DO NOT click it..CNN</t>
  </si>
  <si>
    <t>past_week_none</t>
  </si>
  <si>
    <t>Please click on all of the sources that you got political and election news from in the past week. This includes any way that you can get the source. If you are unsure, please DO NOT click it..None of the above</t>
  </si>
  <si>
    <t>How many hours of the networks below did you watch yesterday? Fox News</t>
  </si>
  <si>
    <t>0-10 hours</t>
  </si>
  <si>
    <t>How many hours of the networks below did you watch yesterday? CNN</t>
  </si>
  <si>
    <t>How many hours of the networks below did you watch yesterday? MSNBC</t>
  </si>
  <si>
    <t>Conbination of: (1) During a typical week, how many days do you watch each of the networks below? (2) On the days when you do watch Fox News, how many hours and minutes do you usually watch?</t>
  </si>
  <si>
    <t>Convert hours/minutes to total minutes and then multiply by number of days watched. If respondent says they never watch, code as 0.</t>
  </si>
  <si>
    <t>Conbination of: (1) During a typical week, how many days do you watch each of the networks below? (2) On the days when you do watch CNN, how many hours and minutes do you usually watch?</t>
  </si>
  <si>
    <t>Conbination of: (1) During a typical week, how many days do you watch each of the networks below? (2) On the days when you do watch MSNBC, how many hours and minutes do you usually watch?</t>
  </si>
  <si>
    <t>prefer_news_or_other_tv</t>
  </si>
  <si>
    <t>When watching TV, do you prefer to watch news or to watch other programs, such as sports, reality TV, sitcoms, etc.?</t>
  </si>
  <si>
    <t>1 = Prefer news; 4 = Enjoy both equally; 7 = Prefer other TV</t>
  </si>
  <si>
    <t>why_fox_entertain</t>
  </si>
  <si>
    <t>You indicated that you sometimes watch Fox News. Why do you watch Fox News? Check all that apply. - I find it entertaining</t>
  </si>
  <si>
    <t>0 = not checked; 1 = checked</t>
  </si>
  <si>
    <t>why_fox_inform</t>
  </si>
  <si>
    <t>You indicated that you sometimes watch Fox News. Why do you watch Fox News? Check all that apply. - I find it informative</t>
  </si>
  <si>
    <t>why_fox_pov</t>
  </si>
  <si>
    <t>You indicated that you sometimes watch Fox News. Why do you watch Fox News? Check all that apply. -They share my point of view</t>
  </si>
  <si>
    <t>why_fox_hosts</t>
  </si>
  <si>
    <t>You indicated that you sometimes watch Fox News. Why do you watch Fox News? Check all that apply. - I like the hosts</t>
  </si>
  <si>
    <t>why_fox_habit</t>
  </si>
  <si>
    <t>You indicated that you sometimes watch Fox News. Why do you watch Fox News? Check all that apply. - I've just always watched it</t>
  </si>
  <si>
    <t>why_fox_other</t>
  </si>
  <si>
    <t>You indicated that you sometimes watch Fox News. Why do you watch Fox News? Check all that apply. - Something else</t>
  </si>
  <si>
    <t>why_cnn_entertain</t>
  </si>
  <si>
    <t>You indicated that you sometimes watch CNN. Why do you watch CNN? Check all that apply. - I find it entertaining</t>
  </si>
  <si>
    <t>why_cnn_inform</t>
  </si>
  <si>
    <t>You indicated that you sometimes watch CNN. Why do you watch CNN? Check all that apply. - I find it informative</t>
  </si>
  <si>
    <t>why_cnn_pov</t>
  </si>
  <si>
    <t xml:space="preserve">You indicated that you sometimes watch CNN. Why do you watch CNN? Check all that apply. -They share my point of view </t>
  </si>
  <si>
    <t>why_cnn_hosts</t>
  </si>
  <si>
    <t>You indicated that you sometimes watch CNN. Why do you watch CNN? Check all that apply. - I like the hosts</t>
  </si>
  <si>
    <t>why_cnn_habit</t>
  </si>
  <si>
    <t>You indicated that you sometimes watch CNN. Why do you watch CNN? Check all that apply. - I've just always watched it</t>
  </si>
  <si>
    <t>why_cnn_other</t>
  </si>
  <si>
    <t>You indicated that you sometimes watch CNN. Why do you watch CNN? Check all that apply. - Something else</t>
  </si>
  <si>
    <t>why_msnbc_entertain</t>
  </si>
  <si>
    <t>You indicated that you sometimes watch MSNBC. Why do you watch MSNBC? Check all that apply. - I find it entertaining</t>
  </si>
  <si>
    <t>why_msnbc_inform</t>
  </si>
  <si>
    <t>You indicated that you sometimes watch MSNBC. Why do you watch MSNBC? Check all that apply. - I find it informative</t>
  </si>
  <si>
    <t>why_msnbc_pov</t>
  </si>
  <si>
    <t>You indicated that you sometimes watch MSNBC. Why do you watch MSNBC? Check all that apply. -They share my point of view</t>
  </si>
  <si>
    <t>why_msnbc_hosts</t>
  </si>
  <si>
    <t>You indicated that you sometimes watch MSNBC. Why do you watch MSNBC? Check all that apply. - I like the hosts</t>
  </si>
  <si>
    <t>why_msnbc_habit</t>
  </si>
  <si>
    <t>You indicated that you sometimes watch MSNBC. Why do you watch MSNBC? Check all that apply. - I've just always watched it</t>
  </si>
  <si>
    <t>why_msnbc_other</t>
  </si>
  <si>
    <t>You indicated that you sometimes watch MSNBC. Why do you watch MSNBC? Check all that apply. - Something else</t>
  </si>
  <si>
    <t>How much do you think you’d enjoy doing each of the following activities for one hour? - Watching Fox News</t>
  </si>
  <si>
    <t>1 = dislike a great deal; 2 = dislike a fair amount; 3 = dislike somewhat; 4 = enjoy somewhat; 5 = enjoy a fair amount; 6 = enjoy a great deal</t>
  </si>
  <si>
    <t>How much do you think you’d enjoy doing each of the following activities for one hour? - Watching CNN</t>
  </si>
  <si>
    <t>enjoy_hourwatchingmsnbc</t>
  </si>
  <si>
    <t>How much do you think you’d enjoy doing each of the following activities for one hour? - Watching MSNBC</t>
  </si>
  <si>
    <t>enjoy_discuss_fox</t>
  </si>
  <si>
    <t xml:space="preserve">How much do you think you’d enjoy doing each of the following activities for one hour? - Talking about politics with people who watch Fox News </t>
  </si>
  <si>
    <t xml:space="preserve">How much do you think you’d enjoy doing each of the following activities for one hour? - Talking about politics with people who watch CNN </t>
  </si>
  <si>
    <t>enjoy_discuss_msnbc</t>
  </si>
  <si>
    <t xml:space="preserve">How much do you think you’d enjoy doing each of the following activities for one hour? - Talking about politics with people who watch MSNBC </t>
  </si>
  <si>
    <t xml:space="preserve">How much do you trust news organizations when it comes to reporting the news about government and politics fully, accurately, and fairly? The media in general </t>
  </si>
  <si>
    <t>1 = not at all; 2 = not very much; 3 = a fair amount; 4 = a great deal</t>
  </si>
  <si>
    <t>How much do you trust news organizations when it comes to reporting the news about government and politics fully, accurately, and fairly? Fox News</t>
  </si>
  <si>
    <t>How much do you trust news organizations when it comes to reporting the news about government and politics fully, accurately, and fairly? MSNBC</t>
  </si>
  <si>
    <t>How much do you trust news organizations when it comes to reporting the news about government and politics fully, accurately, and fairly? CNN</t>
  </si>
  <si>
    <t>follow_govt</t>
  </si>
  <si>
    <t>Some people seem to follow what’s going on in government and public affairs most of the time, whether there’s an election going on or not. Others aren’t that interested. Would you say you follow what’s going on in government and public affairs most of the time, some of the time, only now and then, or hardly at all?</t>
  </si>
  <si>
    <t>1 = hardly at all; 2 = only now and then; 3 = some of the time; 4 = a great deal</t>
  </si>
  <si>
    <t>issue_impt_unemply</t>
  </si>
  <si>
    <t>Which of the following issues do you consider to be extremely important? Please check all that apply.-Unemployment</t>
  </si>
  <si>
    <t>issue_impt_tax</t>
  </si>
  <si>
    <t>Which of the following issues do you consider to be extremely important? Please check all that apply.-Taxes</t>
  </si>
  <si>
    <t>issue_impt_gap_income</t>
  </si>
  <si>
    <t>Which of the following issues do you consider to be extremely important? Please check all that apply.-Gap between rich and poor</t>
  </si>
  <si>
    <t>issue_impt_covid</t>
  </si>
  <si>
    <t>Which of the following issues do you consider to be extremely important? Please check all that apply.-Coronavirus</t>
  </si>
  <si>
    <t>issue_impt_race</t>
  </si>
  <si>
    <t>Which of the following issues do you consider to be extremely important? Please check all that apply.-Race relations</t>
  </si>
  <si>
    <t>issue_impt_healthcare</t>
  </si>
  <si>
    <t>Which of the following issues do you consider to be extremely important? Please check all that apply.-Healthcare</t>
  </si>
  <si>
    <t>issue_impt_crime</t>
  </si>
  <si>
    <t>Which of the following issues do you consider to be extremely important? Please check all that apply.-Crime</t>
  </si>
  <si>
    <t>issue_impt_immigr</t>
  </si>
  <si>
    <t>Which of the following issues do you consider to be extremely important? Please check all that apply.-Immigration</t>
  </si>
  <si>
    <t>issue_impt_climate</t>
  </si>
  <si>
    <t>Which of the following issues do you consider to be extremely important? Please check all that apply.-Climate change</t>
  </si>
  <si>
    <t>issue_impt_educ</t>
  </si>
  <si>
    <t>Which of the following issues do you consider to be extremely important? Please check all that apply.-Education</t>
  </si>
  <si>
    <t>issue_impt_natsec</t>
  </si>
  <si>
    <t>Which of the following issues do you consider to be extremely important? Please check all that apply.-National security</t>
  </si>
  <si>
    <t>issue_impt_deficit</t>
  </si>
  <si>
    <t>Which of the following issues do you consider to be extremely important? Please check all that apply.-The federal budget deficit</t>
  </si>
  <si>
    <t>issue_impt_correct</t>
  </si>
  <si>
    <t>Which of the following issues do you consider to be extremely important? Please check all that apply.-Political correctness</t>
  </si>
  <si>
    <t>issue_impt_values</t>
  </si>
  <si>
    <t>Which of the following issues do you consider to be extremely important? Please check all that apply.-Preserving America’s traditional values</t>
  </si>
  <si>
    <t>issue_impt_gap_race</t>
  </si>
  <si>
    <t>Which of the following issues do you consider to be extremely important? Please check all that apply.-Gap between white and black Americans</t>
  </si>
  <si>
    <t>issue_impt_flag</t>
  </si>
  <si>
    <t>Which of the following issues do you consider to be extremely important? Please check all that apply.-Displays of the Confederate flag</t>
  </si>
  <si>
    <t>issue_impt_china</t>
  </si>
  <si>
    <t>Which of the following issues do you consider to be extremely important? Please check all that apply.-China</t>
  </si>
  <si>
    <t>issue_impt_none</t>
  </si>
  <si>
    <t>Which of the following issues do you consider to be extremely important? Please check all that apply.-None of the above</t>
  </si>
  <si>
    <t>Feeling thermometer: Blacks</t>
  </si>
  <si>
    <t>0 = cold; 50 = neutral; 100 = warm</t>
  </si>
  <si>
    <t>Feeling thermometer: Whites</t>
  </si>
  <si>
    <t>Feeling thermometer: Hispanics</t>
  </si>
  <si>
    <t>Feeling thermometer: Asians</t>
  </si>
  <si>
    <t>Feeling thermometer: Muslims</t>
  </si>
  <si>
    <t>Feeling thermometer: Illegal Immigrants</t>
  </si>
  <si>
    <t>Feeling thermometer: President Donald Trump</t>
  </si>
  <si>
    <t>Feeling thermometer: Former Vice President Joe Biden</t>
  </si>
  <si>
    <t>therm_obama</t>
  </si>
  <si>
    <t>Feeling thermometer: Former President Barack Obama</t>
  </si>
  <si>
    <t>Feeling thermometer: Democratic party voters</t>
  </si>
  <si>
    <t>Feeling thermometer: Republican party voters</t>
  </si>
  <si>
    <t>Feeling thermometer: Democratic party candidates and elected officials</t>
  </si>
  <si>
    <t>Feeling thermometer: Republican party candidates and elected officials</t>
  </si>
  <si>
    <t>Feeling thermometer: Journalists</t>
  </si>
  <si>
    <t>therm_msnbc</t>
  </si>
  <si>
    <t>Feeling thermometer: MSNBC</t>
  </si>
  <si>
    <t>Feeling thermometer: Fox News</t>
  </si>
  <si>
    <t>Feeling thermometer: CNN</t>
  </si>
  <si>
    <t>Feeling thermometer: New York Times</t>
  </si>
  <si>
    <t>issueview_borderpatrol</t>
  </si>
  <si>
    <t>State and national leaders have considered many important proposals over the past few years. For each of the following, tell us whether you agree or disagree with the proposal in principle.</t>
  </si>
  <si>
    <t>Increase the number of border patrols on the US-Mexico border.</t>
  </si>
  <si>
    <t>1 = strongly disagree; 2 = somewhat disagree; 3 = neither; 4 = somewhat agree; 5 = strongly agree</t>
  </si>
  <si>
    <t>issueview_sanctuarycity</t>
  </si>
  <si>
    <t>The federal government should refuse to give money to “sanctuary cities” (cities that refuse to cooperate with federal immigration enforcement efforts).</t>
  </si>
  <si>
    <t>issueview_medicareage</t>
  </si>
  <si>
    <t>Lower the eligibility age for Medicare from 65 to 60.</t>
  </si>
  <si>
    <t>issueview_civilwarstatue</t>
  </si>
  <si>
    <t>Remove statues of people who fought for the Confederacy in the Civil War from public property.</t>
  </si>
  <si>
    <t>Due to coronavirus, require all states to allow voters to vote by mail rather than in-person in the 2020 election.</t>
  </si>
  <si>
    <t>issueview_reducespend</t>
  </si>
  <si>
    <t>In order to pay down our national debt, federal government spending should be reduced.</t>
  </si>
  <si>
    <t>issueview_corptax</t>
  </si>
  <si>
    <t>Increase the taxes that corporations pay on their profits.</t>
  </si>
  <si>
    <t>issueview_banabort20</t>
  </si>
  <si>
    <t>Prohibit all abortions after the 20th week of pregnancy.</t>
  </si>
  <si>
    <t>issueview_cleanenergy2035</t>
  </si>
  <si>
    <t>In order to combat global warming, by 2035 the government should eliminate all oil, coal, and gas power plants, and only rely on clean energy sources like solar and wind power for electricity.</t>
  </si>
  <si>
    <t>Schools should open for in-person classes this fall.</t>
  </si>
  <si>
    <t>fact_bornoutsideus</t>
  </si>
  <si>
    <t>Out of every 100 people living in the U.S., how many do you think were born outside the United States?</t>
  </si>
  <si>
    <t>0-100 slider</t>
  </si>
  <si>
    <t>fact_prisonafricanamerican</t>
  </si>
  <si>
    <t>Out of every 100 people currently in prison in the U.S., how many do you think are African-American?</t>
  </si>
  <si>
    <t>fact_shootingnonwhite</t>
  </si>
  <si>
    <t>Out of every 100 people who commit mass shootings in the U.S., how many do you think are nonwhite?</t>
  </si>
  <si>
    <t>fact_unemployed</t>
  </si>
  <si>
    <t>Out of every 100 people who are either working or actively seeking work (the labor force), how many do you think are unemployed? This is sometimes referred to as the unemployment rate.</t>
  </si>
  <si>
    <t>Do you agree or disagree with the statements below?</t>
  </si>
  <si>
    <t xml:space="preserve">Irish, Italian, Jewish and many other minorities overcame prejudice and worked their way up. Blacks should do the same without any special favors. </t>
  </si>
  <si>
    <t xml:space="preserve">Over the past few years, blacks have gotten less than they deserve. </t>
  </si>
  <si>
    <t xml:space="preserve">White people in the US have certain advantages because of the color of their skin. </t>
  </si>
  <si>
    <t xml:space="preserve">Racial problems in the US are rare, isolated situations. </t>
  </si>
  <si>
    <t>We’d like to know more about what you think about people who vote for the Democratic party. Below, we’ve given a list of words that some people might use to describe them. For each item, please indicate how well you think it applies to people who vote for the Democratic party.</t>
  </si>
  <si>
    <t>1 = not at all well; 2 = not too well; 3 = somewhat well; 4 = very well; 5 = extremely well</t>
  </si>
  <si>
    <t>Next, we’d like to know more about what you think about people who vote for the Republican party. Below, we’ve given a list of words that some people might use to describe them. For each item, please indicate how well you think it applies to people who vote for the Republican party.</t>
  </si>
  <si>
    <t>Do you agree or disagree with the following statements?</t>
  </si>
  <si>
    <t>selfview_trumpcovid</t>
  </si>
  <si>
    <t>Donald Trump has done a good job handling the coronavirus pandemic.</t>
  </si>
  <si>
    <t>selfview_covidnotdanger</t>
  </si>
  <si>
    <t>selfview_fedssendtroops</t>
  </si>
  <si>
    <t>The federal government should send its own police to crack down on crime in cities that have high crime rates, regardless of whether the city mayors agree.</t>
  </si>
  <si>
    <t>selfview_russiainvestigation</t>
  </si>
  <si>
    <t>The investigations into Russia's interference into the 2016 election were mainly motivated by politics.</t>
  </si>
  <si>
    <t>selfview_stonecommute</t>
  </si>
  <si>
    <t>Donald Trump was wrong to commute Roger Stone's prison sentence (that is, to let him out of prison early).</t>
  </si>
  <si>
    <t>Generally speaking, do you consider yourself a…</t>
  </si>
  <si>
    <t>Re-code as standard 7-point PID scale (e.g., 1 = Republican -&gt; Strong, Republican -&gt; Not so strong, Neither -&gt; Lean Republican, ... 7 = strong Democrat)</t>
  </si>
  <si>
    <t xml:space="preserve">When possible, ${e://Field/inpartyic} politicians should try to compromise with ${e://Field/outpartyic} politicians to get things done. </t>
  </si>
  <si>
    <t xml:space="preserve">If a ${e://Field/inpartyic} governor of a state can't get cooperation from ${e://Field/outpartyic} legislators to pass new laws, the ${e://Field/inpartyic} governor should issue executive orders on their own to accomplish their priorities. </t>
  </si>
  <si>
    <t>norms_ignorecourt</t>
  </si>
  <si>
    <t>${e://Field/inpartyic} elected officials should sometimes consider ignoring court decisions when the judges who issued those decisions were appointed by ${e://Field/outpartyic} presidents.</t>
  </si>
  <si>
    <t xml:space="preserve">If a journalist accuses a ${e://Field/inpartyic} politician of misconduct without naming their sources, the journalist should be criminally investigated. </t>
  </si>
  <si>
    <t>norms_reducepolling</t>
  </si>
  <si>
    <t xml:space="preserve">${e://Field/inparty}s should reduce the number of polling stations in areas that typically support ${e://Field/outparty}s. </t>
  </si>
  <si>
    <t xml:space="preserve">When they criticize political leaders, news organizations prevent political leaders from doing their jobs. </t>
  </si>
  <si>
    <t>If you had to guess, where do you think Democrat Joe Biden stands on each of these proposals?</t>
  </si>
  <si>
    <t>issue_biden_openborder</t>
  </si>
  <si>
    <t>Allow anyone in the world to immigrate to the US and become a US citizen.</t>
  </si>
  <si>
    <t>issue_biden_freecollege</t>
  </si>
  <si>
    <t>Make two years of community college free for all Americans.</t>
  </si>
  <si>
    <t>issue_biden_globalwarming</t>
  </si>
  <si>
    <t>Spend $94 trillion over the next 10 years to fight global warming.</t>
  </si>
  <si>
    <t>issue_biden_student_debt</t>
  </si>
  <si>
    <t>Forgive all college student debt.</t>
  </si>
  <si>
    <t>issue_biden_chinatariff</t>
  </si>
  <si>
    <t>Eliminate tariffs on China.</t>
  </si>
  <si>
    <t>issue_biden_medicareage</t>
  </si>
  <si>
    <t>issue_biden_drug_price</t>
  </si>
  <si>
    <t>Allow the government to negotiate the prices of prescription drugs with drug companies in order to lower drug prices.</t>
  </si>
  <si>
    <t>issue_trump_sanctuarycity</t>
  </si>
  <si>
    <t>If you had to guess, where do you think Republican Donald Trump stands on each of these proposals?</t>
  </si>
  <si>
    <t>issue_trump_skillimmigr</t>
  </si>
  <si>
    <t xml:space="preserve">With few exceptions, the government should only admit immigrants to the US who are highly skilled and can earn high wages in specialized jobs. </t>
  </si>
  <si>
    <t xml:space="preserve">Open America's public schools for in-person classes this fall. </t>
  </si>
  <si>
    <t xml:space="preserve">Americans should wear masks in public. </t>
  </si>
  <si>
    <t>true_biden_sandersplatform</t>
  </si>
  <si>
    <t>Below are several statements. Some statements below are completely true. Others are at least partly false. Some are completely false. Which of the below statements do you think are completely true? If you think part of the statement is false, select false. If you don't know, just make your best guess.</t>
  </si>
  <si>
    <t>Joe Biden recently revised his campaign platform; it is now the same as the platform Bernie Sanders ran on several months ago.</t>
  </si>
  <si>
    <t>Completely true = 1; False = 0</t>
  </si>
  <si>
    <t>true_biden_stakechina</t>
  </si>
  <si>
    <t>Joe Biden’s son Hunter Biden has a major financial stake in a Chinese company.</t>
  </si>
  <si>
    <t>true_trump_devosdeath</t>
  </si>
  <si>
    <t>Trump’s Secretary of Education Betsy DeVos said that “only” 0.02% of children would die of COVID-19 if they all went back to school, even though this is “only” over 14,000 American children.</t>
  </si>
  <si>
    <t>true_stockmarket</t>
  </si>
  <si>
    <t>The US stock market has a higher value today than it did in November 2016.</t>
  </si>
  <si>
    <t>true_covidcasesjunevjuly</t>
  </si>
  <si>
    <t>There were more COVID-19 cases diagnosed in the United States in the first two weeks of July than during the first two weeks of June.</t>
  </si>
  <si>
    <t>true_covidcaseseu</t>
  </si>
  <si>
    <t>So far in July, the United States</t>
  </si>
  <si>
    <t>true_biden_plagiarize</t>
  </si>
  <si>
    <t>In 1987 while running for president, Joe Biden plagiarized major portions of a speech from a British politician.</t>
  </si>
  <si>
    <t>true_trump_testing</t>
  </si>
  <si>
    <t>Donald Trump said that “by doing all of this testing” for COVID-19 “we make ourselves look bad,” and said that he told his aides to “slow the testing down.”</t>
  </si>
  <si>
    <t>true_violentcrime</t>
  </si>
  <si>
    <t>true_trump_stonejury</t>
  </si>
  <si>
    <t>When Donald Trump's former campaign staffer Roger Stone was found guilty, the trial's jury foreperson was previously a Democratic political candidate.</t>
  </si>
  <si>
    <t>true_hydroxy</t>
  </si>
  <si>
    <t>Hydroxychloroquine is an effective treatment against COVID-19.</t>
  </si>
  <si>
    <t>true_protestorsattackcops</t>
  </si>
  <si>
    <t>Protesters recently attacked and injured multiple New York City police officers during a protest on the Brooklyn Bridge.</t>
  </si>
  <si>
    <t>true_trump_copdeath</t>
  </si>
  <si>
    <t>Donald Trump recently said that more white people than black people die at the hands of law enforcement officers.</t>
  </si>
  <si>
    <t>true_childrencovid</t>
  </si>
  <si>
    <t>Children cannot catch COVID-19.</t>
  </si>
  <si>
    <t>true_notenoughppe</t>
  </si>
  <si>
    <t>Many states and cities still do not have the number of coronavirus tests, hospital beds, or personal protective equipment</t>
  </si>
  <si>
    <t>true_trump_flags</t>
  </si>
  <si>
    <t>Donald Trump said that “When people proudly have their Confederate flags, they're not talking about racism.”</t>
  </si>
  <si>
    <t>true_biden_socialist</t>
  </si>
  <si>
    <t>It would be accurate to describe many of Joe Biden’s policies as “socialist.”</t>
  </si>
  <si>
    <t>true_trump_cohenarrest</t>
  </si>
  <si>
    <t>A judge ordered Trump's ex-lawyer Michael Cohen released from prison and back to house arrest, saying the Trump administration had only put him back in prison because he was writing a book that criticized Trump.</t>
  </si>
  <si>
    <t>We hear a lot of talk these days about liberals and conservatives. Here is a scale on which the political views that people might hold are arranged from extremely liberal to extremely conservative. Where would you place the following people and organizations on this scale? Where would you place yourself?</t>
  </si>
  <si>
    <t>Slider: 1 = extremely liberal; 5 = moderate; 9 = extremely conservative</t>
  </si>
  <si>
    <t>On that same scale, where would you place the following people and organizations? Where would you place yourself?</t>
  </si>
  <si>
    <t>covid_mask_last_time</t>
  </si>
  <si>
    <t>Did you wear a mask or other face covering the last time you went out in public to an indoor space, such as shopping in a grocery store?</t>
  </si>
  <si>
    <t>Yes = 1; 0 = No</t>
  </si>
  <si>
    <t>covid_masks_help</t>
  </si>
  <si>
    <t>In your opinion, does wearing a mask help to reduce the spread of the coronavirus?</t>
  </si>
  <si>
    <t>No, it increases the spread = 1; No, it does nothing = 2; Not sure = 3; Yes, some = 4; Yes, a lot = 5</t>
  </si>
  <si>
    <t>covid_concern</t>
  </si>
  <si>
    <t>How concerned are you that you, someone in your family or someone else you know will become infected with the coronavirus?</t>
  </si>
  <si>
    <t>Not at all concerned = 1; not very concerned = 2; Somewhat concerned = 3; very concerned = 4</t>
  </si>
  <si>
    <t>pk_housecontrol_correct</t>
  </si>
  <si>
    <t>Do you happen to remember which party controls the United States House of Representatives -- that is, which party has a majority of members in the United States House of Representatives?</t>
  </si>
  <si>
    <t>Correct = 1; 0 = incorrect or not sure</t>
  </si>
  <si>
    <t>pk_roberts_correct</t>
  </si>
  <si>
    <t>Do you happen to remember what job John Roberts holds?</t>
  </si>
  <si>
    <t>pk_doddfrank_correct</t>
  </si>
  <si>
    <t>Do you happen to remember what industry the Dodd-Frank Act regulates?</t>
  </si>
  <si>
    <t>pk_senateterm_correct</t>
  </si>
  <si>
    <t>For how many years is a member of the United States Senate elected -- that is, how many years are there in one full term of office for a US Senator?</t>
  </si>
  <si>
    <t>watch_SHOW_DAY</t>
  </si>
  <si>
    <t>Which of the below weekday Fox News programs do you watch often? Please check all that apply. (The times listed below are ${e://Field/tz} time.)</t>
  </si>
  <si>
    <t>Asked Monday-Friday for Fox and Friends; America's Newsroom; The Five; Special Report with Bret Baier; The Story with Martha MacCallum; Tucker Carslon Tonight; Hannity; The Ingraham Angle</t>
  </si>
  <si>
    <t>Watch = 1; Not watch = 0</t>
  </si>
  <si>
    <t>educ</t>
  </si>
  <si>
    <t>What is the highest level of education you have completed?</t>
  </si>
  <si>
    <t>1 = Did not finish high school; 2 = High school or GED; 3 = Associates Degree; 4 = Vocation Degree; 5 = Some College; 6 = Bachelor's Degree; 7 = Graduate Degree</t>
  </si>
  <si>
    <t>race_white</t>
  </si>
  <si>
    <t>How would you identify your race/ethnicity (select all that apply)?</t>
  </si>
  <si>
    <t>White</t>
  </si>
  <si>
    <t>Checked = 1; Not checked = 0</t>
  </si>
  <si>
    <t>race_black</t>
  </si>
  <si>
    <t>Black</t>
  </si>
  <si>
    <t>race_latino</t>
  </si>
  <si>
    <t>Latino (any race)</t>
  </si>
  <si>
    <t>race_asian</t>
  </si>
  <si>
    <t>Asian or Pacific Islander</t>
  </si>
  <si>
    <t>race_nativeam</t>
  </si>
  <si>
    <t>Native American</t>
  </si>
  <si>
    <t>race_other</t>
  </si>
  <si>
    <t>income_under10k</t>
  </si>
  <si>
    <t>Thinking back over the last year, what was your family's annual income?</t>
  </si>
  <si>
    <t>Less than $10,000</t>
  </si>
  <si>
    <t>income_10to20k</t>
  </si>
  <si>
    <t>$10,000 to $19,999</t>
  </si>
  <si>
    <t>income_20to30k</t>
  </si>
  <si>
    <t>$20,000 to $29,999</t>
  </si>
  <si>
    <t>income_30to40k</t>
  </si>
  <si>
    <t>$30,000 to $39,999</t>
  </si>
  <si>
    <t>income_40to50k</t>
  </si>
  <si>
    <t>$40,000 to $49,999</t>
  </si>
  <si>
    <t>income_50to60k</t>
  </si>
  <si>
    <t>$50,000 to $59,999</t>
  </si>
  <si>
    <t>income_60to70k</t>
  </si>
  <si>
    <t>$60,000 to $69,999</t>
  </si>
  <si>
    <t>income_70to80k</t>
  </si>
  <si>
    <t>$70,000 to $79,999</t>
  </si>
  <si>
    <t>income_80to90k</t>
  </si>
  <si>
    <t>$80,000 to $89,999</t>
  </si>
  <si>
    <t>income_90to100k</t>
  </si>
  <si>
    <t>$90,000 to $99,999</t>
  </si>
  <si>
    <t>income_100to150k</t>
  </si>
  <si>
    <t>$100,000 to $149,999</t>
  </si>
  <si>
    <t>income_over150k</t>
  </si>
  <si>
    <t>$150,000 or more</t>
  </si>
  <si>
    <t>income_rathernotsay</t>
  </si>
  <si>
    <t>I'd rather not say</t>
  </si>
  <si>
    <t>If the election for President of the United States were held today, would you vote for Republican Donald Trump, or Democrat Joe Biden? Followed by:  If you had to choose, would you lean towards Republican Donald Trump or Democrat Joe Biden?</t>
  </si>
  <si>
    <t>1 = Trump; 2 = Neither Trump or Biden -&gt; Lean Trump, 3 = Neither -&gt; Undecided; 4 = Neither -&gt; Biden; 5 = Biden</t>
  </si>
  <si>
    <t>employ_fulltime</t>
  </si>
  <si>
    <t>Which of the following best describes your current employment status?</t>
  </si>
  <si>
    <t>Working full time now</t>
  </si>
  <si>
    <t>employ_parttime</t>
  </si>
  <si>
    <t>Working part time now</t>
  </si>
  <si>
    <t>employ_templaidoff</t>
  </si>
  <si>
    <t>Temporarily laid off</t>
  </si>
  <si>
    <t>employ_unemployed</t>
  </si>
  <si>
    <t>Unemployed</t>
  </si>
  <si>
    <t>employ_retired</t>
  </si>
  <si>
    <t>Retired</t>
  </si>
  <si>
    <t>employ_disabled</t>
  </si>
  <si>
    <t>Permanently disabled</t>
  </si>
  <si>
    <t>employ_carehome</t>
  </si>
  <si>
    <t>Taking care of home or family</t>
  </si>
  <si>
    <t>employ_student</t>
  </si>
  <si>
    <t>Student</t>
  </si>
  <si>
    <t>employ_other</t>
  </si>
  <si>
    <t>people_in_house_18over</t>
  </si>
  <si>
    <t>How many people aged 18 and above live in your household? Include any person over 18 years old that lives in your home most of the time.</t>
  </si>
  <si>
    <t>1 = 1; 2 = 2; 3 = 3; 4 = 4 or more</t>
  </si>
  <si>
    <t>people_in_house_10to18</t>
  </si>
  <si>
    <t>How many people aged 10-18 live in your household? Include any person 10-18 years old that lives in your home most of the time.</t>
  </si>
  <si>
    <t>0 = 0; 1 = 1; 2 = 2; 3 = 3 or more</t>
  </si>
  <si>
    <t>num_tvs_in_house</t>
  </si>
  <si>
    <t>How many different TVs are in your home?</t>
  </si>
  <si>
    <t>fox_watch_comparion_nobody</t>
  </si>
  <si>
    <t xml:space="preserve">Compared to other people in your household, would you say you watch more Fox News or less Fox News? </t>
  </si>
  <si>
    <t>No one in my household watches any Fox News at all</t>
  </si>
  <si>
    <t>fox_watch_comparion_less</t>
  </si>
  <si>
    <t xml:space="preserve">I watch less Fox News than other people in my household  </t>
  </si>
  <si>
    <t>fox_watch_comparion_more</t>
  </si>
  <si>
    <t>I watch more Fox News than other people in my household</t>
  </si>
  <si>
    <t>fox_watch_comparion_same</t>
  </si>
  <si>
    <t>About the same</t>
  </si>
  <si>
    <t>Figure</t>
  </si>
  <si>
    <t>CNN Beliefs</t>
  </si>
  <si>
    <t>Fox Beliefs</t>
  </si>
  <si>
    <t>Both Attitudes</t>
  </si>
  <si>
    <t>Both Beliefs</t>
  </si>
  <si>
    <t>Reduced Knowledge of Fox-Covered Biden Positions</t>
  </si>
  <si>
    <t>variable.name</t>
  </si>
  <si>
    <t>during_treatment_fox_news_viewership</t>
  </si>
  <si>
    <t>substitute_news_source_use</t>
  </si>
  <si>
    <t>general_media_attitudes</t>
  </si>
  <si>
    <t>fox_attitudes</t>
  </si>
  <si>
    <t>cnn_attitudes</t>
  </si>
  <si>
    <t>affect_towards_democratic_voters</t>
  </si>
  <si>
    <t>agenda_setting</t>
  </si>
  <si>
    <t>trump_evaluation</t>
  </si>
  <si>
    <t>racial_prejudice</t>
  </si>
  <si>
    <t>biden_evaluation</t>
  </si>
  <si>
    <t>affect_towards_republican_voters</t>
  </si>
  <si>
    <t>general_political_preferences</t>
  </si>
  <si>
    <t>covered_issue_attitudes</t>
  </si>
  <si>
    <t>covid_attitudes</t>
  </si>
  <si>
    <t>non_covered_issue_attitudes</t>
  </si>
  <si>
    <t>second_order_beliefs</t>
  </si>
  <si>
    <t>attitudes_towards_events_fox_covered</t>
  </si>
  <si>
    <t>attitudes_towards_events_cnn_covered</t>
  </si>
  <si>
    <t>bartels_ethnic_antagonism</t>
  </si>
  <si>
    <t>norms</t>
  </si>
  <si>
    <t>biden_position_perception_fox_covered</t>
  </si>
  <si>
    <t>biden_position_perception_cnn_covered</t>
  </si>
  <si>
    <t>trump_position_perceptions_cnn_covered</t>
  </si>
  <si>
    <t>trump_position_perceptions_fox_covered</t>
  </si>
  <si>
    <t>t1_enjoy_hourwatchingfox</t>
  </si>
  <si>
    <t>t1_enjoy_hourwatchingcnn</t>
  </si>
  <si>
    <t>t1_enjoy_hourwatchingmsnbc</t>
  </si>
  <si>
    <t>t1_enjoy_discuss_fox</t>
  </si>
  <si>
    <t>t1_enjoy_discuss_cnn</t>
  </si>
  <si>
    <t>t1_enjoy_discuss_msnbc</t>
  </si>
  <si>
    <t>t1_trust_media_in_general</t>
  </si>
  <si>
    <t>t1_trust_fox</t>
  </si>
  <si>
    <t>t1_trust_msnbc</t>
  </si>
  <si>
    <t>t1_trust_cnn</t>
  </si>
  <si>
    <t>t1_therm_trump</t>
  </si>
  <si>
    <t>t1_therm_biden</t>
  </si>
  <si>
    <t>t1_therm_obama</t>
  </si>
  <si>
    <t>t1_therm_dem_voters</t>
  </si>
  <si>
    <t>t1_therm_rep_voters</t>
  </si>
  <si>
    <t>t1_therm_dem_officials</t>
  </si>
  <si>
    <t>t1_therm_rep_officials</t>
  </si>
  <si>
    <t>t1_therm_jouranlists</t>
  </si>
  <si>
    <t>t1_therm_msnbc</t>
  </si>
  <si>
    <t>t1_therm_fox</t>
  </si>
  <si>
    <t>t1_therm_cnn</t>
  </si>
  <si>
    <t>t1_therm_nyt</t>
  </si>
  <si>
    <t>t1_issueview_borderpatrol</t>
  </si>
  <si>
    <t>t1_issueview_medicareage</t>
  </si>
  <si>
    <t>t1_issueview_civilwarstatue</t>
  </si>
  <si>
    <t>t1_issueview_corptax</t>
  </si>
  <si>
    <t>t1_issueview_banabort20</t>
  </si>
  <si>
    <t>t1_issueview_openschools</t>
  </si>
  <si>
    <t>t1_traits_dempatriotic</t>
  </si>
  <si>
    <t>t1_traits_demintelligent</t>
  </si>
  <si>
    <t>t1_traits_demhonest</t>
  </si>
  <si>
    <t>t1_traits_demopenminded</t>
  </si>
  <si>
    <t>t1_traits_demselfish</t>
  </si>
  <si>
    <t>t1_traits_demmean</t>
  </si>
  <si>
    <t>t1_traits_demunreasonable</t>
  </si>
  <si>
    <t>t1_traits_reppatriotic</t>
  </si>
  <si>
    <t>t1_traits_repintelligent</t>
  </si>
  <si>
    <t>t1_traits_rephonest</t>
  </si>
  <si>
    <t>t1_traits_repopenminded</t>
  </si>
  <si>
    <t>t1_traits_repselfish</t>
  </si>
  <si>
    <t>t1_traits_repmean</t>
  </si>
  <si>
    <t>t1_traits_repunreasonable</t>
  </si>
  <si>
    <t>t1_selfview_trumpcovid</t>
  </si>
  <si>
    <t>t1_selfview_covidnotdanger</t>
  </si>
  <si>
    <t>t1_selfview_reducespending</t>
  </si>
  <si>
    <t>t1_selfview_cleanenergy</t>
  </si>
  <si>
    <t>t1_selfview_russiainvestigation</t>
  </si>
  <si>
    <t>t1_ideo_trump</t>
  </si>
  <si>
    <t>t1_ideo_self</t>
  </si>
  <si>
    <t>t1_ideo_biden</t>
  </si>
  <si>
    <t>t1_ideo_cnn</t>
  </si>
  <si>
    <t>t1_ideo_fox</t>
  </si>
  <si>
    <t>t1_covid_masks_help</t>
  </si>
  <si>
    <t>t1_covid_concern</t>
  </si>
  <si>
    <t>t1_agreed_rct</t>
  </si>
  <si>
    <t>t1_survey_seq</t>
  </si>
  <si>
    <t>t1_finished_survey</t>
  </si>
  <si>
    <t>t1_pid7</t>
  </si>
  <si>
    <t>t1_happy</t>
  </si>
  <si>
    <t>t1_anxious</t>
  </si>
  <si>
    <t>t1_hr_selected_mon_4to5</t>
  </si>
  <si>
    <t>t1_hr_selected_mon_5to6</t>
  </si>
  <si>
    <t>t1_hr_selected_mon_6to7</t>
  </si>
  <si>
    <t>t1_hr_selected_mon_7to8</t>
  </si>
  <si>
    <t>t1_hr_selected_mon_8to9</t>
  </si>
  <si>
    <t>t1_hr_selected_mon_9to10</t>
  </si>
  <si>
    <t>t1_hr_selected_mon_10to11</t>
  </si>
  <si>
    <t>t1_hr_selected_mon_11to12</t>
  </si>
  <si>
    <t>t1_hr_selected_tues_4to5</t>
  </si>
  <si>
    <t>t1_hr_selected_tues_5to6</t>
  </si>
  <si>
    <t>t1_hr_selected_tues_6to7</t>
  </si>
  <si>
    <t>t1_hr_selected_tues_7to8</t>
  </si>
  <si>
    <t>t1_hr_selected_tues_8to9</t>
  </si>
  <si>
    <t>t1_hr_selected_tues_9to10</t>
  </si>
  <si>
    <t>t1_hr_selected_tues_10to11</t>
  </si>
  <si>
    <t>t1_hr_selected_tues_11to12</t>
  </si>
  <si>
    <t>t1_hr_selected_wed_4to5</t>
  </si>
  <si>
    <t>t1_hr_selected_wed_5to6</t>
  </si>
  <si>
    <t>t1_hr_selected_wed_6to7</t>
  </si>
  <si>
    <t>t1_hr_selected_wed_7to8</t>
  </si>
  <si>
    <t>t1_hr_selected_wed_8to9</t>
  </si>
  <si>
    <t>t1_hr_selected_wed_9to10</t>
  </si>
  <si>
    <t>t1_hr_selected_wed_10to11</t>
  </si>
  <si>
    <t>t1_hr_selected_wed_11to12</t>
  </si>
  <si>
    <t>t1_hr_selected_thurs_4to5</t>
  </si>
  <si>
    <t>t1_hr_selected_thurs_5to6</t>
  </si>
  <si>
    <t>t1_hr_selected_thurs_6to7</t>
  </si>
  <si>
    <t>t1_hr_selected_thurs_7to8</t>
  </si>
  <si>
    <t>t1_hr_selected_thurs_8to9</t>
  </si>
  <si>
    <t>t1_hr_selected_thurs_9to10</t>
  </si>
  <si>
    <t>t1_hr_selected_thurs_10to11</t>
  </si>
  <si>
    <t>t1_hr_selected_thurs_11to12</t>
  </si>
  <si>
    <t>t1_hr_selected_fri_4to5</t>
  </si>
  <si>
    <t>t1_hr_selected_fri_5to6</t>
  </si>
  <si>
    <t>t1_hr_selected_fri_6to7</t>
  </si>
  <si>
    <t>t1_hr_selected_fri_7to8</t>
  </si>
  <si>
    <t>t1_hr_selected_fri_8to9</t>
  </si>
  <si>
    <t>t1_hr_selected_fri_9to10</t>
  </si>
  <si>
    <t>t1_hr_selected_fri_10to11</t>
  </si>
  <si>
    <t>t1_hr_selected_fri_11to12</t>
  </si>
  <si>
    <t>t1_select_count_hours</t>
  </si>
  <si>
    <t>t1_show_selected_mon_outfront</t>
  </si>
  <si>
    <t>t1_show_selected_mon_anderson</t>
  </si>
  <si>
    <t>t1_show_selected_mon_cuomo</t>
  </si>
  <si>
    <t>t1_show_selected_mon_ctoniteh1</t>
  </si>
  <si>
    <t>t1_show_selected_tues_outfront</t>
  </si>
  <si>
    <t>t1_show_selected_tues_anderson</t>
  </si>
  <si>
    <t>t1_show_selected_tues_cuomo</t>
  </si>
  <si>
    <t>t1_show_selected_tues_ctoniteh1</t>
  </si>
  <si>
    <t>t1_show_selected_wed_outfront</t>
  </si>
  <si>
    <t>t1_show_selected_wed_anderson</t>
  </si>
  <si>
    <t>t1_show_selected_wed_cuomo</t>
  </si>
  <si>
    <t>t1_show_selected_wed_ctoniteh1</t>
  </si>
  <si>
    <t>t1_show_selected_thurs_outfront</t>
  </si>
  <si>
    <t>t1_show_selected_thurs_anderson</t>
  </si>
  <si>
    <t>t1_show_selected_thurs_cuomo</t>
  </si>
  <si>
    <t>t1_show_selected_thurs_ctoniteh1</t>
  </si>
  <si>
    <t>t1_show_selected_fri_outfront</t>
  </si>
  <si>
    <t>t1_show_selected_fri_anderson</t>
  </si>
  <si>
    <t>t1_show_selected_fri_cuomo</t>
  </si>
  <si>
    <t>t1_show_selected_fri_ctoniteh1</t>
  </si>
  <si>
    <t>t1_select_count_shows</t>
  </si>
  <si>
    <t>How much do you think you’d enjoy doing each of the following activities for one hour?</t>
  </si>
  <si>
    <t>Watching MSNBC</t>
  </si>
  <si>
    <t>Talking about politics with people who watch Fox News</t>
  </si>
  <si>
    <t>Talking about politics with people who watch MSNBC</t>
  </si>
  <si>
    <t>1 = Dislike a great deal; 2 = Dislike a fair amount; 3 = Dislike somewhat; 4 = Enjoy somewhat; 5 = Enjoy a fair amount; 6 = Enjoy a great deal</t>
  </si>
  <si>
    <t>How much do you trust news organizations when it comes to reporting the news about government and politics fully, accurately, and fairly?</t>
  </si>
  <si>
    <t>1 = Not at all; 2 = Not very much; 3 = A fair amount; 4 = A great deal</t>
  </si>
  <si>
    <t>Feeling thermometer:  Fox News</t>
  </si>
  <si>
    <t xml:space="preserve">Increase the number of border patrols on the US-Mexico border. </t>
  </si>
  <si>
    <t xml:space="preserve">Lower the eligibility age for Medicare from 65 to 60. </t>
  </si>
  <si>
    <t>1 = Strongly disagree; 2 = Somewhat disagree; 3 = Neither agree nor disagree; 4 = Somewhat agree; 5 = Strongly agree</t>
  </si>
  <si>
    <t>1 = Not at all well; 2 = Not too well; 3 = Somewhat well; 4 = Very well; 5 = Extremely well</t>
  </si>
  <si>
    <t xml:space="preserve">Do you agree or disagree with the following statements? </t>
  </si>
  <si>
    <t xml:space="preserve">Donald Trump has done a good job handling the coronavirus pandemic. </t>
  </si>
  <si>
    <t xml:space="preserve">The coronavirus is not as dangerous as many people seem to think. </t>
  </si>
  <si>
    <t xml:space="preserve">In order to pay down our national debt, federal government spending should be reduced. </t>
  </si>
  <si>
    <t xml:space="preserve">In order to combat global warming, by 2035 the government should eliminate all oil, coal, and gas power plants, and only rely on clean energy sources like solar and wind power for electricity. </t>
  </si>
  <si>
    <t xml:space="preserve">The investigations into Russia's interference into the 2016 election were mainly motivated by politics. </t>
  </si>
  <si>
    <t>1 = Extremely liberal; 5 = Moderate; 9 = Extremely conservative</t>
  </si>
  <si>
    <t>1 = No, it increases the spread; 2 = No, it does nothing; 3 = Not sure; 4 = Yes, some; 5 = Yes, a lot</t>
  </si>
  <si>
    <t>1 = Not at all concerned; 2 = Not very concerned; 3 = Somewhat concerned; 4 = Very concerned</t>
  </si>
  <si>
    <t>Indicator for finishing the survey in Qualtrics</t>
  </si>
  <si>
    <t>Indicator for duplicate survey takers</t>
  </si>
  <si>
    <t>Indicator for inclusion in RCT</t>
  </si>
  <si>
    <t>Over the last four weeks, I think I was…</t>
  </si>
  <si>
    <t>1 = Not a very happy person; 7 = a very happy person</t>
  </si>
  <si>
    <t>1 = Not a very anxious person; 7 = a very anxious person</t>
  </si>
  <si>
    <t xml:space="preserve">At what times would you be willing to watch CNN every week during the month of September? </t>
  </si>
  <si>
    <t>Monday 4-5</t>
  </si>
  <si>
    <t>Monday 5-6</t>
  </si>
  <si>
    <t>Monday 6-7</t>
  </si>
  <si>
    <t>Monday 7-8</t>
  </si>
  <si>
    <t>Monday 8-9</t>
  </si>
  <si>
    <t>Monday 9-10</t>
  </si>
  <si>
    <t>Monday 10-11</t>
  </si>
  <si>
    <t>Monday 11-12</t>
  </si>
  <si>
    <t>Tuesday 4-5</t>
  </si>
  <si>
    <t>Tuesday 5-6</t>
  </si>
  <si>
    <t>Tuesday 6-7</t>
  </si>
  <si>
    <t>Tuesday 7-8</t>
  </si>
  <si>
    <t>Tuesday 8-9</t>
  </si>
  <si>
    <t>Tuesday 9-10</t>
  </si>
  <si>
    <t>Tuesday 10-11</t>
  </si>
  <si>
    <t>Tuesday 11-12</t>
  </si>
  <si>
    <t>Wednesday 4-5</t>
  </si>
  <si>
    <t>Wednesday 5-6</t>
  </si>
  <si>
    <t>Wednesday 6-7</t>
  </si>
  <si>
    <t>Wednesday 7-8</t>
  </si>
  <si>
    <t>Wednesday 8-9</t>
  </si>
  <si>
    <t>Wednesday 9-10</t>
  </si>
  <si>
    <t>Wednesday 10-11</t>
  </si>
  <si>
    <t>Wednesday 11-12</t>
  </si>
  <si>
    <t>Thursday 4-5</t>
  </si>
  <si>
    <t>Thursday 5-6</t>
  </si>
  <si>
    <t>Thursday 6-7</t>
  </si>
  <si>
    <t>Thursday 7-8</t>
  </si>
  <si>
    <t>Thursday 8-9</t>
  </si>
  <si>
    <t>Thursday 9-10</t>
  </si>
  <si>
    <t>Thursday 10-11</t>
  </si>
  <si>
    <t>Thursday 11-12</t>
  </si>
  <si>
    <t>Friday 4-5</t>
  </si>
  <si>
    <t>Friday 5-6</t>
  </si>
  <si>
    <t>Friday 6-7</t>
  </si>
  <si>
    <t>Friday 7-8</t>
  </si>
  <si>
    <t>Friday 8-9</t>
  </si>
  <si>
    <t>Friday 9-10</t>
  </si>
  <si>
    <t>Friday 10-11</t>
  </si>
  <si>
    <t>Friday 11-12</t>
  </si>
  <si>
    <t>1 = selected; 0 = not</t>
  </si>
  <si>
    <t>Sum of the above "selected" variables</t>
  </si>
  <si>
    <t>Sum of the above" slected" variables</t>
  </si>
  <si>
    <t>n/a</t>
  </si>
  <si>
    <t>Mapping from selected time to the corresponding show, given time zones</t>
  </si>
  <si>
    <t>Description</t>
  </si>
  <si>
    <t>vf_age</t>
  </si>
  <si>
    <t>vf_general18</t>
  </si>
  <si>
    <t>vf_general16</t>
  </si>
  <si>
    <t>vf_general14</t>
  </si>
  <si>
    <t>vf_general12</t>
  </si>
  <si>
    <t>vf_dem</t>
  </si>
  <si>
    <t>vf_rep</t>
  </si>
  <si>
    <t>vf_female</t>
  </si>
  <si>
    <t>vf_white</t>
  </si>
  <si>
    <t>vf_afam</t>
  </si>
  <si>
    <t>vf_hispanic</t>
  </si>
  <si>
    <t>pre_treat_cnn_minutes</t>
  </si>
  <si>
    <t>pre_treat_fox_minutes</t>
  </si>
  <si>
    <t>pre_treat_total_minutes</t>
  </si>
  <si>
    <t>incent_date_cnn</t>
  </si>
  <si>
    <t>incent_date_fox</t>
  </si>
  <si>
    <t>incent_date_total</t>
  </si>
  <si>
    <t>incent_period_cnn</t>
  </si>
  <si>
    <t>incent_period_fox</t>
  </si>
  <si>
    <t>incent_period_total</t>
  </si>
  <si>
    <t>after_incent_cnn</t>
  </si>
  <si>
    <t>after_incent_fox</t>
  </si>
  <si>
    <t>after_incent_total</t>
  </si>
  <si>
    <t>october_cnn</t>
  </si>
  <si>
    <t>october_fox</t>
  </si>
  <si>
    <t>october_total</t>
  </si>
  <si>
    <t>november_cnn</t>
  </si>
  <si>
    <t>november_fox</t>
  </si>
  <si>
    <t>november_total</t>
  </si>
  <si>
    <t>NOTE: These variables are grouped into households of 5 given data use agreement</t>
  </si>
  <si>
    <t>Minutes Watched of…</t>
  </si>
  <si>
    <t>Dates</t>
  </si>
  <si>
    <t>Any TV</t>
  </si>
  <si>
    <t>2020-05-01 to 2020-08-30</t>
  </si>
  <si>
    <t>2020-08-31 to 2020-09-04; 2020-09-07 to 2020-09-11; 2020-09-14 to 2020-09-18; 2020-09-21 to 2020-09-25</t>
  </si>
  <si>
    <t>2020-08-31 to 2020-09-25</t>
  </si>
  <si>
    <t>2020-10-01 to 2020-10-31</t>
  </si>
  <si>
    <t>2020-11-01 to 2020-11-30</t>
  </si>
  <si>
    <t>2020-09-26 to 2020-11-30</t>
  </si>
  <si>
    <t>Age</t>
  </si>
  <si>
    <t>1 = voted in Nov 2018 election; 0 = did not vote</t>
  </si>
  <si>
    <t>1 = voted in Nov 2016 election; 0 = did not vote</t>
  </si>
  <si>
    <t>1 = voted in Nov 2014 election; 0 = did not vote</t>
  </si>
  <si>
    <t>1 = voted in Nov 2012 election; 0 = did not vote</t>
  </si>
  <si>
    <t>1 = registered as a Democrat; 0 = otherwise</t>
  </si>
  <si>
    <t>1 = registered as a Republican; 0 = otherwise</t>
  </si>
  <si>
    <t>1 = identified as female; 0 = otherwise</t>
  </si>
  <si>
    <t>1 = identified as Hispanic; 0 = otherwise</t>
  </si>
  <si>
    <t>1 = identified as African American; 0 = otherwise</t>
  </si>
  <si>
    <t>1 = identified as White; 0 = otherwise</t>
  </si>
  <si>
    <t>Trust - MSNBC</t>
  </si>
  <si>
    <t>1 = selected; 0 = not selected</t>
  </si>
  <si>
    <t>1 = true; 0 = false</t>
  </si>
  <si>
    <t>Hours</t>
  </si>
  <si>
    <t>Minutes</t>
  </si>
  <si>
    <t>1 = Never; 2 = Rarely; 3 = Sometimes; 4 = Very often</t>
  </si>
  <si>
    <t>1 = Never; 2 = Hardly ever; 3 = Sometimes; 4 = Often</t>
  </si>
  <si>
    <t>1 = Not at all; 2 = Not very much; 3 = Only somewhat; 4 = A fair amount; 5 = A great deal</t>
  </si>
  <si>
    <t>1 = strongly disagree; 2 = somewhat disagree; 3 = neither agree nor disagree; 4 = somewhat agree; 5 = strongly agree</t>
  </si>
  <si>
    <t>1 = Performed way below my expectations; 2 = Performed somewhat below my expectations; 3 = Performed at my expectations; 4 = Performed somewhat above my expectations; 5 = Performed way above my expectations</t>
  </si>
  <si>
    <t>1 = Not at all important; 2 = Not too important; 3 = Somewhat important; 4 = Very important; 5 = Extremely important</t>
  </si>
  <si>
    <t>54% or more; 52%; 51%; 50%; 49%; 48%; 47%; 46%; 45% or less</t>
  </si>
  <si>
    <t>1 = extremely unlikely; 2 = unlikely; 3 = somewhat unlikely; 4 = somewhat likely; 5 = likely; 6 = extremely likely</t>
  </si>
  <si>
    <t>Count of shows watched</t>
  </si>
  <si>
    <t>1 = would definitely not discuss; 2 = would probably not discuss; 3 = would probably discuss; 4 = would definitely discuss</t>
  </si>
  <si>
    <t>Dollar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</si>
</sst>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scheme val="minor"/>
    </font>
    <font>
      <sz val="10"/>
      <color rgb="FF000000"/>
      <name val="Arial"/>
      <family val="2"/>
    </font>
    <font>
      <u/>
      <sz val="10"/>
      <color rgb="FF0000FF"/>
      <name val="Arial"/>
      <family val="2"/>
    </font>
    <font>
      <sz val="11"/>
      <color rgb="FF000000"/>
      <name val="Arial"/>
      <family val="2"/>
    </font>
    <font>
      <sz val="10"/>
      <color rgb="FF000000"/>
      <name val="Arial"/>
      <family val="2"/>
    </font>
    <font>
      <sz val="10"/>
      <color theme="1"/>
      <name val="Arial"/>
      <family val="2"/>
      <scheme val="minor"/>
    </font>
    <font>
      <sz val="12"/>
      <color rgb="FF000000"/>
      <name val="Calibri"/>
      <family val="2"/>
    </font>
    <font>
      <sz val="10"/>
      <color theme="1"/>
      <name val="Arial"/>
      <family val="2"/>
    </font>
    <font>
      <u/>
      <sz val="10"/>
      <color rgb="FF1155CC"/>
      <name val="Arial"/>
      <family val="2"/>
    </font>
    <font>
      <sz val="10"/>
      <name val="Arial"/>
      <family val="2"/>
    </font>
    <font>
      <sz val="10"/>
      <color rgb="FF000000"/>
      <name val="Arial"/>
      <family val="2"/>
      <scheme val="minor"/>
    </font>
    <font>
      <sz val="10"/>
      <color theme="1"/>
      <name val="Arial"/>
      <family val="2"/>
      <scheme val="minor"/>
    </font>
    <font>
      <sz val="8"/>
      <name val="Arial"/>
      <family val="2"/>
      <scheme val="minor"/>
    </font>
    <font>
      <b/>
      <sz val="10"/>
      <color rgb="FF00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3">
    <border>
      <left/>
      <right/>
      <top/>
      <bottom/>
      <diagonal/>
    </border>
    <border>
      <left/>
      <right style="thin">
        <color rgb="FFBFBFBF"/>
      </right>
      <top/>
      <bottom/>
      <diagonal/>
    </border>
    <border>
      <left/>
      <right/>
      <top/>
      <bottom/>
      <diagonal/>
    </border>
  </borders>
  <cellStyleXfs count="1">
    <xf numFmtId="0" fontId="0" fillId="0" borderId="0"/>
  </cellStyleXfs>
  <cellXfs count="27">
    <xf numFmtId="0" fontId="0" fillId="0" borderId="0" xfId="0"/>
    <xf numFmtId="0" fontId="1" fillId="0" borderId="0" xfId="0" applyFont="1" applyAlignment="1">
      <alignment horizontal="left" wrapText="1"/>
    </xf>
    <xf numFmtId="0" fontId="2" fillId="0" borderId="0" xfId="0" applyFont="1" applyAlignment="1">
      <alignment horizontal="left" wrapText="1"/>
    </xf>
    <xf numFmtId="0" fontId="2" fillId="0" borderId="1" xfId="0" applyFont="1" applyBorder="1" applyAlignment="1">
      <alignment horizontal="left" wrapText="1"/>
    </xf>
    <xf numFmtId="0" fontId="3" fillId="0" borderId="0" xfId="0" applyFont="1" applyAlignment="1">
      <alignment horizontal="left" wrapText="1"/>
    </xf>
    <xf numFmtId="0" fontId="1" fillId="2" borderId="0" xfId="0" applyFont="1" applyFill="1" applyAlignment="1">
      <alignment horizontal="left" wrapText="1"/>
    </xf>
    <xf numFmtId="0" fontId="2" fillId="2" borderId="0" xfId="0" applyFont="1" applyFill="1" applyAlignment="1">
      <alignment horizontal="left" wrapText="1"/>
    </xf>
    <xf numFmtId="0" fontId="1" fillId="0" borderId="1" xfId="0" applyFont="1" applyBorder="1" applyAlignment="1">
      <alignment horizontal="left" wrapText="1"/>
    </xf>
    <xf numFmtId="0" fontId="4" fillId="0" borderId="0" xfId="0" applyFont="1" applyAlignment="1">
      <alignment wrapText="1"/>
    </xf>
    <xf numFmtId="0" fontId="5" fillId="3" borderId="0" xfId="0" applyFont="1" applyFill="1" applyAlignment="1">
      <alignment horizontal="left"/>
    </xf>
    <xf numFmtId="0" fontId="6" fillId="0" borderId="0" xfId="0" applyFont="1" applyAlignment="1">
      <alignment wrapText="1"/>
    </xf>
    <xf numFmtId="0" fontId="6" fillId="0" borderId="0" xfId="0" applyFont="1"/>
    <xf numFmtId="0" fontId="7" fillId="0" borderId="0" xfId="0" applyFont="1" applyAlignment="1">
      <alignment wrapText="1"/>
    </xf>
    <xf numFmtId="0" fontId="8" fillId="0" borderId="0" xfId="0" applyFont="1" applyAlignment="1">
      <alignment wrapText="1"/>
    </xf>
    <xf numFmtId="0" fontId="6" fillId="0" borderId="2" xfId="0" applyFont="1" applyBorder="1" applyAlignment="1">
      <alignment wrapText="1"/>
    </xf>
    <xf numFmtId="0" fontId="1" fillId="0" borderId="0" xfId="0" applyFont="1" applyAlignment="1">
      <alignment wrapText="1"/>
    </xf>
    <xf numFmtId="0" fontId="1" fillId="0" borderId="0" xfId="0" applyFont="1"/>
    <xf numFmtId="0" fontId="0" fillId="0" borderId="0" xfId="0" applyAlignment="1">
      <alignment wrapText="1"/>
    </xf>
    <xf numFmtId="0" fontId="0" fillId="3" borderId="0" xfId="0" applyFill="1" applyAlignment="1">
      <alignment horizontal="left"/>
    </xf>
    <xf numFmtId="0" fontId="12" fillId="0" borderId="0" xfId="0" applyFont="1" applyAlignment="1">
      <alignment horizontal="left" wrapText="1"/>
    </xf>
    <xf numFmtId="0" fontId="12" fillId="0" borderId="0" xfId="0" applyFont="1" applyAlignment="1">
      <alignment wrapText="1"/>
    </xf>
    <xf numFmtId="0" fontId="11" fillId="0" borderId="2" xfId="0" applyFont="1" applyBorder="1" applyAlignment="1">
      <alignment horizontal="left" wrapText="1"/>
    </xf>
    <xf numFmtId="0" fontId="11" fillId="0" borderId="0" xfId="0" applyFont="1"/>
    <xf numFmtId="0" fontId="11" fillId="0" borderId="0" xfId="0" applyFont="1" applyAlignment="1">
      <alignment wrapText="1"/>
    </xf>
    <xf numFmtId="0" fontId="14" fillId="0" borderId="0" xfId="0" applyFont="1"/>
    <xf numFmtId="0" fontId="1" fillId="0" borderId="0" xfId="0"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cnn.com/" TargetMode="External"/><Relationship Id="rId1" Type="http://schemas.openxmlformats.org/officeDocument/2006/relationships/hyperlink" Target="http://foxnews.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cnn.com/" TargetMode="External"/><Relationship Id="rId1" Type="http://schemas.openxmlformats.org/officeDocument/2006/relationships/hyperlink" Target="http://fox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224"/>
  <sheetViews>
    <sheetView workbookViewId="0">
      <pane ySplit="1" topLeftCell="A2" activePane="bottomLeft" state="frozen"/>
      <selection pane="bottomLeft" activeCell="C131" sqref="C131"/>
    </sheetView>
  </sheetViews>
  <sheetFormatPr baseColWidth="10" defaultColWidth="12.6640625" defaultRowHeight="15.75" customHeight="1" x14ac:dyDescent="0.15"/>
  <cols>
    <col min="1" max="1" width="23.1640625" customWidth="1"/>
    <col min="2" max="3" width="55.33203125" customWidth="1"/>
    <col min="4" max="4" width="38.83203125" customWidth="1"/>
  </cols>
  <sheetData>
    <row r="1" spans="1:4" ht="15.75" customHeight="1" x14ac:dyDescent="0.15">
      <c r="A1" s="15" t="s">
        <v>2</v>
      </c>
      <c r="B1" s="15" t="s">
        <v>770</v>
      </c>
      <c r="C1" s="15" t="s">
        <v>771</v>
      </c>
      <c r="D1" s="16" t="s">
        <v>772</v>
      </c>
    </row>
    <row r="2" spans="1:4" ht="15.75" customHeight="1" x14ac:dyDescent="0.15">
      <c r="A2" s="15" t="s">
        <v>773</v>
      </c>
      <c r="B2" s="15"/>
      <c r="C2" s="15" t="s">
        <v>774</v>
      </c>
      <c r="D2" s="16" t="s">
        <v>775</v>
      </c>
    </row>
    <row r="3" spans="1:4" ht="15.75" customHeight="1" x14ac:dyDescent="0.15">
      <c r="A3" s="15" t="s">
        <v>776</v>
      </c>
      <c r="B3" s="15"/>
      <c r="C3" s="15" t="s">
        <v>777</v>
      </c>
      <c r="D3" s="16" t="s">
        <v>778</v>
      </c>
    </row>
    <row r="4" spans="1:4" ht="15.75" customHeight="1" x14ac:dyDescent="0.15">
      <c r="A4" s="15" t="s">
        <v>779</v>
      </c>
      <c r="B4" s="15"/>
      <c r="C4" s="15" t="s">
        <v>780</v>
      </c>
      <c r="D4" s="16" t="s">
        <v>781</v>
      </c>
    </row>
    <row r="5" spans="1:4" ht="15.75" customHeight="1" x14ac:dyDescent="0.15">
      <c r="A5" s="15" t="s">
        <v>782</v>
      </c>
      <c r="B5" s="15"/>
      <c r="C5" s="15" t="s">
        <v>783</v>
      </c>
      <c r="D5" s="16" t="s">
        <v>784</v>
      </c>
    </row>
    <row r="6" spans="1:4" ht="15.75" customHeight="1" x14ac:dyDescent="0.15">
      <c r="A6" s="15" t="s">
        <v>785</v>
      </c>
      <c r="B6" s="15"/>
      <c r="C6" s="15" t="s">
        <v>786</v>
      </c>
      <c r="D6" s="16" t="s">
        <v>787</v>
      </c>
    </row>
    <row r="7" spans="1:4" ht="15.75" customHeight="1" x14ac:dyDescent="0.15">
      <c r="A7" s="15" t="s">
        <v>788</v>
      </c>
      <c r="B7" s="15"/>
      <c r="C7" s="15" t="s">
        <v>789</v>
      </c>
      <c r="D7" s="16" t="s">
        <v>787</v>
      </c>
    </row>
    <row r="8" spans="1:4" ht="15.75" customHeight="1" x14ac:dyDescent="0.15">
      <c r="A8" s="15" t="s">
        <v>790</v>
      </c>
      <c r="B8" s="15"/>
      <c r="C8" s="15" t="s">
        <v>791</v>
      </c>
      <c r="D8" s="16" t="s">
        <v>787</v>
      </c>
    </row>
    <row r="9" spans="1:4" ht="15.75" customHeight="1" x14ac:dyDescent="0.15">
      <c r="A9" s="15" t="s">
        <v>792</v>
      </c>
      <c r="B9" s="15"/>
      <c r="C9" s="15" t="s">
        <v>793</v>
      </c>
      <c r="D9" s="16" t="s">
        <v>787</v>
      </c>
    </row>
    <row r="10" spans="1:4" ht="15.75" customHeight="1" x14ac:dyDescent="0.15">
      <c r="A10" s="15" t="s">
        <v>794</v>
      </c>
      <c r="B10" s="15"/>
      <c r="C10" s="15" t="s">
        <v>795</v>
      </c>
      <c r="D10" s="16" t="s">
        <v>787</v>
      </c>
    </row>
    <row r="11" spans="1:4" ht="15.75" customHeight="1" x14ac:dyDescent="0.15">
      <c r="A11" s="15" t="s">
        <v>796</v>
      </c>
      <c r="B11" s="15"/>
      <c r="C11" s="15" t="s">
        <v>797</v>
      </c>
      <c r="D11" s="16" t="s">
        <v>787</v>
      </c>
    </row>
    <row r="12" spans="1:4" ht="15.75" customHeight="1" x14ac:dyDescent="0.15">
      <c r="A12" s="15" t="s">
        <v>798</v>
      </c>
      <c r="B12" s="15"/>
      <c r="C12" s="15" t="s">
        <v>799</v>
      </c>
      <c r="D12" s="16" t="s">
        <v>787</v>
      </c>
    </row>
    <row r="13" spans="1:4" ht="15.75" customHeight="1" x14ac:dyDescent="0.15">
      <c r="A13" s="15" t="s">
        <v>800</v>
      </c>
      <c r="B13" s="15"/>
      <c r="C13" s="15" t="s">
        <v>801</v>
      </c>
      <c r="D13" s="16" t="s">
        <v>787</v>
      </c>
    </row>
    <row r="14" spans="1:4" ht="15.75" customHeight="1" x14ac:dyDescent="0.15">
      <c r="A14" s="15" t="s">
        <v>802</v>
      </c>
      <c r="B14" s="15"/>
      <c r="C14" s="15" t="s">
        <v>803</v>
      </c>
      <c r="D14" s="16" t="s">
        <v>787</v>
      </c>
    </row>
    <row r="15" spans="1:4" ht="15.75" customHeight="1" x14ac:dyDescent="0.15">
      <c r="A15" s="15" t="s">
        <v>11</v>
      </c>
      <c r="B15" s="15"/>
      <c r="C15" s="15" t="s">
        <v>804</v>
      </c>
      <c r="D15" s="16" t="s">
        <v>805</v>
      </c>
    </row>
    <row r="16" spans="1:4" ht="15.75" customHeight="1" x14ac:dyDescent="0.15">
      <c r="A16" s="15" t="s">
        <v>18</v>
      </c>
      <c r="B16" s="15"/>
      <c r="C16" s="15" t="s">
        <v>806</v>
      </c>
      <c r="D16" s="16" t="s">
        <v>805</v>
      </c>
    </row>
    <row r="17" spans="1:4" ht="15.75" customHeight="1" x14ac:dyDescent="0.15">
      <c r="A17" s="15" t="s">
        <v>519</v>
      </c>
      <c r="B17" s="15"/>
      <c r="C17" s="15" t="s">
        <v>807</v>
      </c>
      <c r="D17" s="16" t="s">
        <v>805</v>
      </c>
    </row>
    <row r="18" spans="1:4" ht="15.75" customHeight="1" x14ac:dyDescent="0.15">
      <c r="A18" s="15" t="s">
        <v>22</v>
      </c>
      <c r="B18" s="1"/>
      <c r="C18" s="1" t="s">
        <v>808</v>
      </c>
      <c r="D18" s="1" t="s">
        <v>809</v>
      </c>
    </row>
    <row r="19" spans="1:4" ht="15.75" customHeight="1" x14ac:dyDescent="0.15">
      <c r="A19" s="15" t="s">
        <v>28</v>
      </c>
      <c r="B19" s="15"/>
      <c r="C19" s="15" t="s">
        <v>810</v>
      </c>
      <c r="D19" s="1" t="s">
        <v>809</v>
      </c>
    </row>
    <row r="20" spans="1:4" ht="15.75" customHeight="1" x14ac:dyDescent="0.15">
      <c r="A20" s="15" t="s">
        <v>32</v>
      </c>
      <c r="B20" s="15"/>
      <c r="C20" s="15" t="s">
        <v>811</v>
      </c>
      <c r="D20" s="1" t="s">
        <v>809</v>
      </c>
    </row>
    <row r="21" spans="1:4" ht="15.75" customHeight="1" x14ac:dyDescent="0.15">
      <c r="A21" s="15" t="s">
        <v>812</v>
      </c>
      <c r="B21" s="15"/>
      <c r="C21" s="15" t="s">
        <v>813</v>
      </c>
      <c r="D21" s="16" t="s">
        <v>814</v>
      </c>
    </row>
    <row r="22" spans="1:4" ht="15.75" customHeight="1" x14ac:dyDescent="0.15">
      <c r="A22" s="17" t="s">
        <v>815</v>
      </c>
      <c r="B22" s="17"/>
      <c r="C22" s="17" t="s">
        <v>816</v>
      </c>
      <c r="D22" s="16" t="s">
        <v>817</v>
      </c>
    </row>
    <row r="23" spans="1:4" ht="15.75" customHeight="1" x14ac:dyDescent="0.15">
      <c r="A23" s="17" t="s">
        <v>818</v>
      </c>
      <c r="B23" s="17"/>
      <c r="C23" s="17" t="s">
        <v>819</v>
      </c>
      <c r="D23" s="16" t="s">
        <v>817</v>
      </c>
    </row>
    <row r="24" spans="1:4" ht="15.75" customHeight="1" x14ac:dyDescent="0.15">
      <c r="A24" s="17" t="s">
        <v>820</v>
      </c>
      <c r="B24" s="17"/>
      <c r="C24" s="17" t="s">
        <v>821</v>
      </c>
      <c r="D24" s="16" t="s">
        <v>817</v>
      </c>
    </row>
    <row r="25" spans="1:4" ht="15.75" customHeight="1" x14ac:dyDescent="0.15">
      <c r="A25" s="17" t="s">
        <v>822</v>
      </c>
      <c r="B25" s="17"/>
      <c r="C25" s="17" t="s">
        <v>823</v>
      </c>
      <c r="D25" s="16" t="s">
        <v>817</v>
      </c>
    </row>
    <row r="26" spans="1:4" ht="15.75" customHeight="1" x14ac:dyDescent="0.15">
      <c r="A26" s="17" t="s">
        <v>824</v>
      </c>
      <c r="B26" s="17"/>
      <c r="C26" s="17" t="s">
        <v>825</v>
      </c>
      <c r="D26" s="16" t="s">
        <v>817</v>
      </c>
    </row>
    <row r="27" spans="1:4" ht="15.75" customHeight="1" x14ac:dyDescent="0.15">
      <c r="A27" s="17" t="s">
        <v>826</v>
      </c>
      <c r="B27" s="17"/>
      <c r="C27" s="17" t="s">
        <v>827</v>
      </c>
      <c r="D27" s="16" t="s">
        <v>817</v>
      </c>
    </row>
    <row r="28" spans="1:4" ht="15.75" customHeight="1" x14ac:dyDescent="0.15">
      <c r="A28" s="17" t="s">
        <v>828</v>
      </c>
      <c r="B28" s="15"/>
      <c r="C28" s="15" t="s">
        <v>829</v>
      </c>
      <c r="D28" s="16" t="s">
        <v>817</v>
      </c>
    </row>
    <row r="29" spans="1:4" ht="15.75" customHeight="1" x14ac:dyDescent="0.15">
      <c r="A29" s="17" t="s">
        <v>830</v>
      </c>
      <c r="B29" s="15"/>
      <c r="C29" s="15" t="s">
        <v>831</v>
      </c>
      <c r="D29" s="16" t="s">
        <v>817</v>
      </c>
    </row>
    <row r="30" spans="1:4" ht="15.75" customHeight="1" x14ac:dyDescent="0.15">
      <c r="A30" s="17" t="s">
        <v>832</v>
      </c>
      <c r="B30" s="15"/>
      <c r="C30" s="15" t="s">
        <v>833</v>
      </c>
      <c r="D30" s="16" t="s">
        <v>817</v>
      </c>
    </row>
    <row r="31" spans="1:4" ht="15.75" customHeight="1" x14ac:dyDescent="0.15">
      <c r="A31" s="17" t="s">
        <v>834</v>
      </c>
      <c r="B31" s="15"/>
      <c r="C31" s="15" t="s">
        <v>835</v>
      </c>
      <c r="D31" s="16" t="s">
        <v>817</v>
      </c>
    </row>
    <row r="32" spans="1:4" ht="15.75" customHeight="1" x14ac:dyDescent="0.15">
      <c r="A32" s="17" t="s">
        <v>836</v>
      </c>
      <c r="B32" s="15"/>
      <c r="C32" s="15" t="s">
        <v>837</v>
      </c>
      <c r="D32" s="16" t="s">
        <v>817</v>
      </c>
    </row>
    <row r="33" spans="1:4" ht="15.75" customHeight="1" x14ac:dyDescent="0.15">
      <c r="A33" s="17" t="s">
        <v>838</v>
      </c>
      <c r="B33" s="15"/>
      <c r="C33" s="15" t="s">
        <v>839</v>
      </c>
      <c r="D33" s="16" t="s">
        <v>817</v>
      </c>
    </row>
    <row r="34" spans="1:4" ht="15.75" customHeight="1" x14ac:dyDescent="0.15">
      <c r="A34" s="17" t="s">
        <v>840</v>
      </c>
      <c r="B34" s="17"/>
      <c r="C34" s="17" t="s">
        <v>841</v>
      </c>
      <c r="D34" s="16" t="s">
        <v>817</v>
      </c>
    </row>
    <row r="35" spans="1:4" ht="15.75" customHeight="1" x14ac:dyDescent="0.15">
      <c r="A35" s="17" t="s">
        <v>842</v>
      </c>
      <c r="B35" s="17"/>
      <c r="C35" s="17" t="s">
        <v>843</v>
      </c>
      <c r="D35" s="16" t="s">
        <v>817</v>
      </c>
    </row>
    <row r="36" spans="1:4" ht="15.75" customHeight="1" x14ac:dyDescent="0.15">
      <c r="A36" s="17" t="s">
        <v>844</v>
      </c>
      <c r="B36" s="17"/>
      <c r="C36" s="17" t="s">
        <v>845</v>
      </c>
      <c r="D36" s="16" t="s">
        <v>817</v>
      </c>
    </row>
    <row r="37" spans="1:4" ht="15.75" customHeight="1" x14ac:dyDescent="0.15">
      <c r="A37" s="17" t="s">
        <v>846</v>
      </c>
      <c r="B37" s="17"/>
      <c r="C37" s="17" t="s">
        <v>847</v>
      </c>
      <c r="D37" s="16" t="s">
        <v>817</v>
      </c>
    </row>
    <row r="38" spans="1:4" ht="15.75" customHeight="1" x14ac:dyDescent="0.15">
      <c r="A38" s="17" t="s">
        <v>848</v>
      </c>
      <c r="B38" s="17"/>
      <c r="C38" s="17" t="s">
        <v>849</v>
      </c>
      <c r="D38" s="16" t="s">
        <v>817</v>
      </c>
    </row>
    <row r="39" spans="1:4" ht="15.75" customHeight="1" x14ac:dyDescent="0.15">
      <c r="A39" s="17" t="s">
        <v>850</v>
      </c>
      <c r="B39" s="17"/>
      <c r="C39" s="17" t="s">
        <v>851</v>
      </c>
      <c r="D39" s="16" t="s">
        <v>817</v>
      </c>
    </row>
    <row r="40" spans="1:4" ht="15.75" customHeight="1" x14ac:dyDescent="0.15">
      <c r="A40" s="15" t="s">
        <v>118</v>
      </c>
      <c r="B40" s="15"/>
      <c r="C40" s="15" t="s">
        <v>852</v>
      </c>
      <c r="D40" s="16" t="s">
        <v>853</v>
      </c>
    </row>
    <row r="41" spans="1:4" ht="15.75" customHeight="1" x14ac:dyDescent="0.15">
      <c r="A41" s="15" t="s">
        <v>121</v>
      </c>
      <c r="B41" s="15"/>
      <c r="C41" s="15" t="s">
        <v>854</v>
      </c>
      <c r="D41" s="16" t="s">
        <v>853</v>
      </c>
    </row>
    <row r="42" spans="1:4" ht="15.75" customHeight="1" x14ac:dyDescent="0.15">
      <c r="A42" s="15" t="s">
        <v>855</v>
      </c>
      <c r="B42" s="15"/>
      <c r="C42" s="15" t="s">
        <v>856</v>
      </c>
      <c r="D42" s="16" t="s">
        <v>853</v>
      </c>
    </row>
    <row r="43" spans="1:4" ht="15.75" customHeight="1" x14ac:dyDescent="0.15">
      <c r="A43" s="15" t="s">
        <v>857</v>
      </c>
      <c r="B43" s="15"/>
      <c r="C43" s="15" t="s">
        <v>858</v>
      </c>
      <c r="D43" s="16" t="s">
        <v>853</v>
      </c>
    </row>
    <row r="44" spans="1:4" ht="15.75" customHeight="1" x14ac:dyDescent="0.15">
      <c r="A44" s="15" t="s">
        <v>124</v>
      </c>
      <c r="B44" s="15"/>
      <c r="C44" s="15" t="s">
        <v>859</v>
      </c>
      <c r="D44" s="16" t="s">
        <v>853</v>
      </c>
    </row>
    <row r="45" spans="1:4" ht="15.75" customHeight="1" x14ac:dyDescent="0.15">
      <c r="A45" s="15" t="s">
        <v>860</v>
      </c>
      <c r="B45" s="15"/>
      <c r="C45" s="15" t="s">
        <v>861</v>
      </c>
      <c r="D45" s="16" t="s">
        <v>853</v>
      </c>
    </row>
    <row r="46" spans="1:4" ht="15.75" customHeight="1" x14ac:dyDescent="0.15">
      <c r="A46" s="1" t="s">
        <v>83</v>
      </c>
      <c r="B46" s="15"/>
      <c r="C46" s="15" t="s">
        <v>862</v>
      </c>
      <c r="D46" s="16" t="s">
        <v>863</v>
      </c>
    </row>
    <row r="47" spans="1:4" ht="15.75" customHeight="1" x14ac:dyDescent="0.15">
      <c r="A47" s="1" t="s">
        <v>87</v>
      </c>
      <c r="B47" s="15"/>
      <c r="C47" s="15" t="s">
        <v>864</v>
      </c>
      <c r="D47" s="16" t="s">
        <v>863</v>
      </c>
    </row>
    <row r="48" spans="1:4" ht="15.75" customHeight="1" x14ac:dyDescent="0.15">
      <c r="A48" s="1" t="s">
        <v>90</v>
      </c>
      <c r="B48" s="15"/>
      <c r="C48" s="15" t="s">
        <v>865</v>
      </c>
      <c r="D48" s="16" t="s">
        <v>863</v>
      </c>
    </row>
    <row r="49" spans="1:4" ht="15.75" customHeight="1" x14ac:dyDescent="0.15">
      <c r="A49" s="1" t="s">
        <v>92</v>
      </c>
      <c r="B49" s="15"/>
      <c r="C49" s="15" t="s">
        <v>866</v>
      </c>
      <c r="D49" s="16" t="s">
        <v>863</v>
      </c>
    </row>
    <row r="50" spans="1:4" ht="15.75" customHeight="1" x14ac:dyDescent="0.15">
      <c r="A50" s="15" t="s">
        <v>867</v>
      </c>
      <c r="B50" s="15"/>
      <c r="C50" s="15" t="s">
        <v>868</v>
      </c>
      <c r="D50" s="16" t="s">
        <v>869</v>
      </c>
    </row>
    <row r="51" spans="1:4" ht="15.75" customHeight="1" x14ac:dyDescent="0.15">
      <c r="A51" s="17" t="s">
        <v>870</v>
      </c>
      <c r="B51" s="17"/>
      <c r="C51" s="17" t="s">
        <v>871</v>
      </c>
      <c r="D51" s="16" t="s">
        <v>817</v>
      </c>
    </row>
    <row r="52" spans="1:4" ht="15.75" customHeight="1" x14ac:dyDescent="0.15">
      <c r="A52" s="17" t="s">
        <v>872</v>
      </c>
      <c r="B52" s="17"/>
      <c r="C52" s="17" t="s">
        <v>873</v>
      </c>
      <c r="D52" s="16" t="s">
        <v>817</v>
      </c>
    </row>
    <row r="53" spans="1:4" ht="15.75" customHeight="1" x14ac:dyDescent="0.15">
      <c r="A53" s="17" t="s">
        <v>874</v>
      </c>
      <c r="B53" s="17"/>
      <c r="C53" s="17" t="s">
        <v>875</v>
      </c>
      <c r="D53" s="16" t="s">
        <v>817</v>
      </c>
    </row>
    <row r="54" spans="1:4" ht="15.75" customHeight="1" x14ac:dyDescent="0.15">
      <c r="A54" s="17" t="s">
        <v>876</v>
      </c>
      <c r="B54" s="17"/>
      <c r="C54" s="17" t="s">
        <v>877</v>
      </c>
      <c r="D54" s="16" t="s">
        <v>817</v>
      </c>
    </row>
    <row r="55" spans="1:4" ht="15.75" customHeight="1" x14ac:dyDescent="0.15">
      <c r="A55" s="17" t="s">
        <v>878</v>
      </c>
      <c r="B55" s="17"/>
      <c r="C55" s="17" t="s">
        <v>879</v>
      </c>
      <c r="D55" s="16" t="s">
        <v>817</v>
      </c>
    </row>
    <row r="56" spans="1:4" ht="15.75" customHeight="1" x14ac:dyDescent="0.15">
      <c r="A56" s="17" t="s">
        <v>880</v>
      </c>
      <c r="B56" s="17"/>
      <c r="C56" s="17" t="s">
        <v>881</v>
      </c>
      <c r="D56" s="16" t="s">
        <v>817</v>
      </c>
    </row>
    <row r="57" spans="1:4" ht="15.75" customHeight="1" x14ac:dyDescent="0.15">
      <c r="A57" s="17" t="s">
        <v>882</v>
      </c>
      <c r="B57" s="17"/>
      <c r="C57" s="17" t="s">
        <v>883</v>
      </c>
      <c r="D57" s="16" t="s">
        <v>817</v>
      </c>
    </row>
    <row r="58" spans="1:4" ht="15.75" customHeight="1" x14ac:dyDescent="0.15">
      <c r="A58" s="17" t="s">
        <v>884</v>
      </c>
      <c r="B58" s="17"/>
      <c r="C58" s="17" t="s">
        <v>885</v>
      </c>
      <c r="D58" s="16" t="s">
        <v>817</v>
      </c>
    </row>
    <row r="59" spans="1:4" ht="15.75" customHeight="1" x14ac:dyDescent="0.15">
      <c r="A59" s="17" t="s">
        <v>886</v>
      </c>
      <c r="B59" s="17"/>
      <c r="C59" s="17" t="s">
        <v>887</v>
      </c>
      <c r="D59" s="16" t="s">
        <v>817</v>
      </c>
    </row>
    <row r="60" spans="1:4" ht="15.75" customHeight="1" x14ac:dyDescent="0.15">
      <c r="A60" s="17" t="s">
        <v>888</v>
      </c>
      <c r="B60" s="17"/>
      <c r="C60" s="17" t="s">
        <v>889</v>
      </c>
      <c r="D60" s="16" t="s">
        <v>817</v>
      </c>
    </row>
    <row r="61" spans="1:4" ht="15.75" customHeight="1" x14ac:dyDescent="0.15">
      <c r="A61" s="17" t="s">
        <v>890</v>
      </c>
      <c r="B61" s="17"/>
      <c r="C61" s="17" t="s">
        <v>891</v>
      </c>
      <c r="D61" s="16" t="s">
        <v>817</v>
      </c>
    </row>
    <row r="62" spans="1:4" ht="15.75" customHeight="1" x14ac:dyDescent="0.15">
      <c r="A62" s="17" t="s">
        <v>892</v>
      </c>
      <c r="B62" s="17"/>
      <c r="C62" s="17" t="s">
        <v>893</v>
      </c>
      <c r="D62" s="16" t="s">
        <v>817</v>
      </c>
    </row>
    <row r="63" spans="1:4" ht="15.75" customHeight="1" x14ac:dyDescent="0.15">
      <c r="A63" s="17" t="s">
        <v>894</v>
      </c>
      <c r="B63" s="17"/>
      <c r="C63" s="17" t="s">
        <v>895</v>
      </c>
      <c r="D63" s="16" t="s">
        <v>817</v>
      </c>
    </row>
    <row r="64" spans="1:4" ht="15.75" customHeight="1" x14ac:dyDescent="0.15">
      <c r="A64" s="17" t="s">
        <v>896</v>
      </c>
      <c r="B64" s="17"/>
      <c r="C64" s="17" t="s">
        <v>897</v>
      </c>
      <c r="D64" s="16" t="s">
        <v>817</v>
      </c>
    </row>
    <row r="65" spans="1:4" ht="15.75" customHeight="1" x14ac:dyDescent="0.15">
      <c r="A65" s="17" t="s">
        <v>898</v>
      </c>
      <c r="B65" s="17"/>
      <c r="C65" s="17" t="s">
        <v>899</v>
      </c>
      <c r="D65" s="16" t="s">
        <v>817</v>
      </c>
    </row>
    <row r="66" spans="1:4" ht="42" x14ac:dyDescent="0.15">
      <c r="A66" s="17" t="s">
        <v>900</v>
      </c>
      <c r="B66" s="17"/>
      <c r="C66" s="17" t="s">
        <v>901</v>
      </c>
      <c r="D66" s="16" t="s">
        <v>817</v>
      </c>
    </row>
    <row r="67" spans="1:4" ht="28" x14ac:dyDescent="0.15">
      <c r="A67" s="17" t="s">
        <v>902</v>
      </c>
      <c r="B67" s="17"/>
      <c r="C67" s="17" t="s">
        <v>903</v>
      </c>
      <c r="D67" s="16" t="s">
        <v>817</v>
      </c>
    </row>
    <row r="68" spans="1:4" ht="28" x14ac:dyDescent="0.15">
      <c r="A68" s="17" t="s">
        <v>904</v>
      </c>
      <c r="B68" s="17"/>
      <c r="C68" s="17" t="s">
        <v>905</v>
      </c>
      <c r="D68" s="16" t="s">
        <v>817</v>
      </c>
    </row>
    <row r="69" spans="1:4" ht="14" x14ac:dyDescent="0.15">
      <c r="A69" t="s">
        <v>171</v>
      </c>
      <c r="C69" s="17" t="s">
        <v>906</v>
      </c>
      <c r="D69" s="16" t="s">
        <v>907</v>
      </c>
    </row>
    <row r="70" spans="1:4" ht="14" x14ac:dyDescent="0.15">
      <c r="A70" t="s">
        <v>174</v>
      </c>
      <c r="C70" s="17" t="s">
        <v>908</v>
      </c>
      <c r="D70" s="16" t="s">
        <v>907</v>
      </c>
    </row>
    <row r="71" spans="1:4" ht="14" x14ac:dyDescent="0.15">
      <c r="A71" t="s">
        <v>176</v>
      </c>
      <c r="C71" s="17" t="s">
        <v>909</v>
      </c>
      <c r="D71" s="16" t="s">
        <v>907</v>
      </c>
    </row>
    <row r="72" spans="1:4" ht="14" x14ac:dyDescent="0.15">
      <c r="A72" t="s">
        <v>178</v>
      </c>
      <c r="C72" s="17" t="s">
        <v>910</v>
      </c>
      <c r="D72" s="16" t="s">
        <v>907</v>
      </c>
    </row>
    <row r="73" spans="1:4" ht="14" x14ac:dyDescent="0.15">
      <c r="A73" t="s">
        <v>180</v>
      </c>
      <c r="C73" s="17" t="s">
        <v>911</v>
      </c>
      <c r="D73" s="16" t="s">
        <v>907</v>
      </c>
    </row>
    <row r="74" spans="1:4" ht="14" x14ac:dyDescent="0.15">
      <c r="A74" t="s">
        <v>182</v>
      </c>
      <c r="C74" s="17" t="s">
        <v>912</v>
      </c>
      <c r="D74" s="16" t="s">
        <v>907</v>
      </c>
    </row>
    <row r="75" spans="1:4" ht="14" x14ac:dyDescent="0.15">
      <c r="A75" t="s">
        <v>187</v>
      </c>
      <c r="C75" s="17" t="s">
        <v>913</v>
      </c>
      <c r="D75" s="16" t="s">
        <v>907</v>
      </c>
    </row>
    <row r="76" spans="1:4" ht="14" x14ac:dyDescent="0.15">
      <c r="A76" t="s">
        <v>189</v>
      </c>
      <c r="C76" s="17" t="s">
        <v>914</v>
      </c>
      <c r="D76" s="16" t="s">
        <v>907</v>
      </c>
    </row>
    <row r="77" spans="1:4" ht="14" x14ac:dyDescent="0.15">
      <c r="A77" t="s">
        <v>915</v>
      </c>
      <c r="C77" s="17" t="s">
        <v>916</v>
      </c>
      <c r="D77" s="16" t="s">
        <v>907</v>
      </c>
    </row>
    <row r="78" spans="1:4" ht="14" x14ac:dyDescent="0.15">
      <c r="A78" t="s">
        <v>192</v>
      </c>
      <c r="C78" s="17" t="s">
        <v>917</v>
      </c>
      <c r="D78" s="16" t="s">
        <v>907</v>
      </c>
    </row>
    <row r="79" spans="1:4" ht="14" x14ac:dyDescent="0.15">
      <c r="A79" t="s">
        <v>194</v>
      </c>
      <c r="C79" s="17" t="s">
        <v>918</v>
      </c>
      <c r="D79" s="16" t="s">
        <v>907</v>
      </c>
    </row>
    <row r="80" spans="1:4" ht="28" x14ac:dyDescent="0.15">
      <c r="A80" t="s">
        <v>197</v>
      </c>
      <c r="C80" s="17" t="s">
        <v>919</v>
      </c>
      <c r="D80" s="16" t="s">
        <v>907</v>
      </c>
    </row>
    <row r="81" spans="1:4" ht="28" x14ac:dyDescent="0.15">
      <c r="A81" t="s">
        <v>200</v>
      </c>
      <c r="C81" s="17" t="s">
        <v>920</v>
      </c>
      <c r="D81" s="16" t="s">
        <v>907</v>
      </c>
    </row>
    <row r="82" spans="1:4" ht="14" x14ac:dyDescent="0.15">
      <c r="A82" t="s">
        <v>203</v>
      </c>
      <c r="C82" s="17" t="s">
        <v>921</v>
      </c>
      <c r="D82" s="16" t="s">
        <v>907</v>
      </c>
    </row>
    <row r="83" spans="1:4" ht="14" x14ac:dyDescent="0.15">
      <c r="A83" t="s">
        <v>922</v>
      </c>
      <c r="C83" s="17" t="s">
        <v>923</v>
      </c>
      <c r="D83" s="16" t="s">
        <v>907</v>
      </c>
    </row>
    <row r="84" spans="1:4" ht="14" x14ac:dyDescent="0.15">
      <c r="A84" t="s">
        <v>204</v>
      </c>
      <c r="C84" s="17" t="s">
        <v>924</v>
      </c>
      <c r="D84" s="16" t="s">
        <v>907</v>
      </c>
    </row>
    <row r="85" spans="1:4" ht="14" x14ac:dyDescent="0.15">
      <c r="A85" t="s">
        <v>205</v>
      </c>
      <c r="C85" s="17" t="s">
        <v>925</v>
      </c>
      <c r="D85" s="16" t="s">
        <v>907</v>
      </c>
    </row>
    <row r="86" spans="1:4" ht="14" x14ac:dyDescent="0.15">
      <c r="A86" t="s">
        <v>207</v>
      </c>
      <c r="C86" s="17" t="s">
        <v>926</v>
      </c>
      <c r="D86" s="16" t="s">
        <v>907</v>
      </c>
    </row>
    <row r="87" spans="1:4" ht="42" x14ac:dyDescent="0.15">
      <c r="A87" s="15" t="s">
        <v>927</v>
      </c>
      <c r="B87" s="15" t="s">
        <v>928</v>
      </c>
      <c r="C87" s="17" t="s">
        <v>929</v>
      </c>
      <c r="D87" s="16" t="s">
        <v>930</v>
      </c>
    </row>
    <row r="88" spans="1:4" ht="42" x14ac:dyDescent="0.15">
      <c r="A88" s="15" t="s">
        <v>931</v>
      </c>
      <c r="B88" s="15" t="s">
        <v>928</v>
      </c>
      <c r="C88" s="17" t="s">
        <v>932</v>
      </c>
      <c r="D88" s="16" t="s">
        <v>930</v>
      </c>
    </row>
    <row r="89" spans="1:4" ht="42" x14ac:dyDescent="0.15">
      <c r="A89" s="18" t="s">
        <v>933</v>
      </c>
      <c r="B89" s="15" t="s">
        <v>928</v>
      </c>
      <c r="C89" s="17" t="s">
        <v>934</v>
      </c>
      <c r="D89" s="16" t="s">
        <v>930</v>
      </c>
    </row>
    <row r="90" spans="1:4" ht="42" x14ac:dyDescent="0.15">
      <c r="A90" s="15" t="s">
        <v>935</v>
      </c>
      <c r="B90" s="15" t="s">
        <v>928</v>
      </c>
      <c r="C90" s="17" t="s">
        <v>936</v>
      </c>
      <c r="D90" s="16" t="s">
        <v>930</v>
      </c>
    </row>
    <row r="91" spans="1:4" ht="42" x14ac:dyDescent="0.15">
      <c r="A91" s="15" t="s">
        <v>210</v>
      </c>
      <c r="B91" s="15" t="s">
        <v>928</v>
      </c>
      <c r="C91" s="17" t="s">
        <v>937</v>
      </c>
      <c r="D91" s="16" t="s">
        <v>930</v>
      </c>
    </row>
    <row r="92" spans="1:4" ht="42" x14ac:dyDescent="0.15">
      <c r="A92" s="15" t="s">
        <v>938</v>
      </c>
      <c r="B92" s="15" t="s">
        <v>928</v>
      </c>
      <c r="C92" s="15" t="s">
        <v>939</v>
      </c>
      <c r="D92" s="16" t="s">
        <v>930</v>
      </c>
    </row>
    <row r="93" spans="1:4" ht="42" x14ac:dyDescent="0.15">
      <c r="A93" s="15" t="s">
        <v>940</v>
      </c>
      <c r="B93" s="15" t="s">
        <v>928</v>
      </c>
      <c r="C93" s="17" t="s">
        <v>941</v>
      </c>
      <c r="D93" s="16" t="s">
        <v>930</v>
      </c>
    </row>
    <row r="94" spans="1:4" ht="42" x14ac:dyDescent="0.15">
      <c r="A94" s="15" t="s">
        <v>942</v>
      </c>
      <c r="B94" s="15" t="s">
        <v>928</v>
      </c>
      <c r="C94" s="17" t="s">
        <v>943</v>
      </c>
      <c r="D94" s="16" t="s">
        <v>930</v>
      </c>
    </row>
    <row r="95" spans="1:4" ht="42" x14ac:dyDescent="0.15">
      <c r="A95" s="15" t="s">
        <v>944</v>
      </c>
      <c r="B95" s="15" t="s">
        <v>928</v>
      </c>
      <c r="C95" s="17" t="s">
        <v>945</v>
      </c>
      <c r="D95" s="16" t="s">
        <v>930</v>
      </c>
    </row>
    <row r="96" spans="1:4" ht="42" x14ac:dyDescent="0.15">
      <c r="A96" s="15" t="s">
        <v>214</v>
      </c>
      <c r="B96" s="15" t="s">
        <v>928</v>
      </c>
      <c r="C96" s="17" t="s">
        <v>946</v>
      </c>
      <c r="D96" s="16" t="s">
        <v>930</v>
      </c>
    </row>
    <row r="97" spans="1:4" ht="28" x14ac:dyDescent="0.15">
      <c r="A97" s="15" t="s">
        <v>947</v>
      </c>
      <c r="B97" s="15"/>
      <c r="C97" s="15" t="s">
        <v>948</v>
      </c>
      <c r="D97" s="16" t="s">
        <v>949</v>
      </c>
    </row>
    <row r="98" spans="1:4" ht="28" x14ac:dyDescent="0.15">
      <c r="A98" s="15" t="s">
        <v>950</v>
      </c>
      <c r="B98" s="15"/>
      <c r="C98" s="15" t="s">
        <v>951</v>
      </c>
      <c r="D98" s="16" t="s">
        <v>949</v>
      </c>
    </row>
    <row r="99" spans="1:4" ht="28" x14ac:dyDescent="0.15">
      <c r="A99" s="15" t="s">
        <v>952</v>
      </c>
      <c r="B99" s="15"/>
      <c r="C99" s="15" t="s">
        <v>953</v>
      </c>
      <c r="D99" s="16" t="s">
        <v>949</v>
      </c>
    </row>
    <row r="100" spans="1:4" ht="42" x14ac:dyDescent="0.15">
      <c r="A100" s="15" t="s">
        <v>954</v>
      </c>
      <c r="B100" s="15"/>
      <c r="C100" s="15" t="s">
        <v>955</v>
      </c>
      <c r="D100" s="16" t="s">
        <v>949</v>
      </c>
    </row>
    <row r="101" spans="1:4" ht="42" x14ac:dyDescent="0.15">
      <c r="A101" t="s">
        <v>270</v>
      </c>
      <c r="B101" s="15" t="s">
        <v>956</v>
      </c>
      <c r="C101" s="15" t="s">
        <v>957</v>
      </c>
      <c r="D101" s="16" t="s">
        <v>930</v>
      </c>
    </row>
    <row r="102" spans="1:4" ht="14" x14ac:dyDescent="0.15">
      <c r="A102" t="s">
        <v>272</v>
      </c>
      <c r="B102" s="15" t="s">
        <v>956</v>
      </c>
      <c r="C102" s="15" t="s">
        <v>958</v>
      </c>
      <c r="D102" s="16" t="s">
        <v>930</v>
      </c>
    </row>
    <row r="103" spans="1:4" ht="28" x14ac:dyDescent="0.15">
      <c r="A103" t="s">
        <v>274</v>
      </c>
      <c r="B103" s="15" t="s">
        <v>956</v>
      </c>
      <c r="C103" s="15" t="s">
        <v>273</v>
      </c>
      <c r="D103" s="16" t="s">
        <v>930</v>
      </c>
    </row>
    <row r="104" spans="1:4" ht="28" x14ac:dyDescent="0.15">
      <c r="A104" t="s">
        <v>276</v>
      </c>
      <c r="B104" s="15" t="s">
        <v>956</v>
      </c>
      <c r="C104" s="15" t="s">
        <v>959</v>
      </c>
      <c r="D104" s="16" t="s">
        <v>930</v>
      </c>
    </row>
    <row r="105" spans="1:4" ht="14" x14ac:dyDescent="0.15">
      <c r="A105" t="s">
        <v>278</v>
      </c>
      <c r="B105" s="15" t="s">
        <v>956</v>
      </c>
      <c r="C105" s="15" t="s">
        <v>960</v>
      </c>
      <c r="D105" s="16" t="s">
        <v>930</v>
      </c>
    </row>
    <row r="106" spans="1:4" ht="13" x14ac:dyDescent="0.15">
      <c r="A106" t="s">
        <v>281</v>
      </c>
      <c r="B106" t="s">
        <v>961</v>
      </c>
      <c r="C106" t="s">
        <v>280</v>
      </c>
      <c r="D106" s="16" t="s">
        <v>962</v>
      </c>
    </row>
    <row r="107" spans="1:4" ht="13" x14ac:dyDescent="0.15">
      <c r="A107" t="s">
        <v>283</v>
      </c>
      <c r="B107" t="s">
        <v>961</v>
      </c>
      <c r="C107" t="s">
        <v>282</v>
      </c>
      <c r="D107" s="16" t="s">
        <v>962</v>
      </c>
    </row>
    <row r="108" spans="1:4" ht="13" x14ac:dyDescent="0.15">
      <c r="A108" t="s">
        <v>285</v>
      </c>
      <c r="B108" t="s">
        <v>961</v>
      </c>
      <c r="C108" t="s">
        <v>284</v>
      </c>
      <c r="D108" s="16" t="s">
        <v>962</v>
      </c>
    </row>
    <row r="109" spans="1:4" ht="13" x14ac:dyDescent="0.15">
      <c r="A109" t="s">
        <v>287</v>
      </c>
      <c r="B109" t="s">
        <v>961</v>
      </c>
      <c r="C109" t="s">
        <v>286</v>
      </c>
      <c r="D109" s="16" t="s">
        <v>962</v>
      </c>
    </row>
    <row r="110" spans="1:4" ht="13" x14ac:dyDescent="0.15">
      <c r="A110" t="s">
        <v>289</v>
      </c>
      <c r="B110" t="s">
        <v>961</v>
      </c>
      <c r="C110" t="s">
        <v>288</v>
      </c>
      <c r="D110" s="16" t="s">
        <v>962</v>
      </c>
    </row>
    <row r="111" spans="1:4" ht="13" x14ac:dyDescent="0.15">
      <c r="A111" t="s">
        <v>291</v>
      </c>
      <c r="B111" t="s">
        <v>961</v>
      </c>
      <c r="C111" t="s">
        <v>290</v>
      </c>
      <c r="D111" s="16" t="s">
        <v>962</v>
      </c>
    </row>
    <row r="112" spans="1:4" ht="13" x14ac:dyDescent="0.15">
      <c r="A112" t="s">
        <v>293</v>
      </c>
      <c r="B112" t="s">
        <v>961</v>
      </c>
      <c r="C112" t="s">
        <v>292</v>
      </c>
      <c r="D112" s="16" t="s">
        <v>962</v>
      </c>
    </row>
    <row r="113" spans="1:4" ht="13" x14ac:dyDescent="0.15">
      <c r="A113" t="s">
        <v>295</v>
      </c>
      <c r="B113" t="s">
        <v>963</v>
      </c>
      <c r="C113" t="s">
        <v>280</v>
      </c>
      <c r="D113" s="16" t="s">
        <v>962</v>
      </c>
    </row>
    <row r="114" spans="1:4" ht="13" x14ac:dyDescent="0.15">
      <c r="A114" t="s">
        <v>296</v>
      </c>
      <c r="B114" t="s">
        <v>963</v>
      </c>
      <c r="C114" t="s">
        <v>282</v>
      </c>
      <c r="D114" s="16" t="s">
        <v>962</v>
      </c>
    </row>
    <row r="115" spans="1:4" ht="13" x14ac:dyDescent="0.15">
      <c r="A115" t="s">
        <v>297</v>
      </c>
      <c r="B115" t="s">
        <v>963</v>
      </c>
      <c r="C115" t="s">
        <v>284</v>
      </c>
      <c r="D115" s="16" t="s">
        <v>962</v>
      </c>
    </row>
    <row r="116" spans="1:4" ht="13" x14ac:dyDescent="0.15">
      <c r="A116" t="s">
        <v>298</v>
      </c>
      <c r="B116" t="s">
        <v>963</v>
      </c>
      <c r="C116" t="s">
        <v>286</v>
      </c>
      <c r="D116" s="16" t="s">
        <v>962</v>
      </c>
    </row>
    <row r="117" spans="1:4" ht="13" x14ac:dyDescent="0.15">
      <c r="A117" t="s">
        <v>299</v>
      </c>
      <c r="B117" t="s">
        <v>963</v>
      </c>
      <c r="C117" t="s">
        <v>288</v>
      </c>
      <c r="D117" s="16" t="s">
        <v>962</v>
      </c>
    </row>
    <row r="118" spans="1:4" ht="13" x14ac:dyDescent="0.15">
      <c r="A118" t="s">
        <v>300</v>
      </c>
      <c r="B118" t="s">
        <v>963</v>
      </c>
      <c r="C118" t="s">
        <v>290</v>
      </c>
      <c r="D118" s="16" t="s">
        <v>962</v>
      </c>
    </row>
    <row r="119" spans="1:4" ht="13" x14ac:dyDescent="0.15">
      <c r="A119" t="s">
        <v>301</v>
      </c>
      <c r="B119" t="s">
        <v>963</v>
      </c>
      <c r="C119" t="s">
        <v>292</v>
      </c>
      <c r="D119" s="16" t="s">
        <v>962</v>
      </c>
    </row>
    <row r="120" spans="1:4" ht="13" x14ac:dyDescent="0.15">
      <c r="A120" t="s">
        <v>341</v>
      </c>
      <c r="B120" t="s">
        <v>964</v>
      </c>
      <c r="C120" t="s">
        <v>340</v>
      </c>
      <c r="D120" s="16" t="s">
        <v>930</v>
      </c>
    </row>
    <row r="121" spans="1:4" ht="13" x14ac:dyDescent="0.15">
      <c r="A121" t="s">
        <v>965</v>
      </c>
      <c r="B121" t="s">
        <v>964</v>
      </c>
      <c r="C121" t="s">
        <v>966</v>
      </c>
      <c r="D121" s="16" t="s">
        <v>930</v>
      </c>
    </row>
    <row r="122" spans="1:4" ht="13" x14ac:dyDescent="0.15">
      <c r="A122" t="s">
        <v>343</v>
      </c>
      <c r="B122" t="s">
        <v>964</v>
      </c>
      <c r="C122" t="s">
        <v>342</v>
      </c>
      <c r="D122" s="16" t="s">
        <v>930</v>
      </c>
    </row>
    <row r="123" spans="1:4" ht="13" x14ac:dyDescent="0.15">
      <c r="A123" t="s">
        <v>967</v>
      </c>
      <c r="B123" t="s">
        <v>964</v>
      </c>
      <c r="C123" t="s">
        <v>244</v>
      </c>
      <c r="D123" s="16" t="s">
        <v>930</v>
      </c>
    </row>
    <row r="124" spans="1:4" ht="13" x14ac:dyDescent="0.15">
      <c r="A124" t="s">
        <v>968</v>
      </c>
      <c r="B124" t="s">
        <v>964</v>
      </c>
      <c r="C124" t="s">
        <v>969</v>
      </c>
      <c r="D124" s="16" t="s">
        <v>930</v>
      </c>
    </row>
    <row r="125" spans="1:4" ht="13" x14ac:dyDescent="0.15">
      <c r="A125" t="s">
        <v>970</v>
      </c>
      <c r="B125" t="s">
        <v>964</v>
      </c>
      <c r="C125" t="s">
        <v>971</v>
      </c>
      <c r="D125" s="16" t="s">
        <v>930</v>
      </c>
    </row>
    <row r="126" spans="1:4" ht="13" x14ac:dyDescent="0.15">
      <c r="A126" t="s">
        <v>972</v>
      </c>
      <c r="B126" t="s">
        <v>964</v>
      </c>
      <c r="C126" t="s">
        <v>973</v>
      </c>
      <c r="D126" s="16" t="s">
        <v>930</v>
      </c>
    </row>
    <row r="127" spans="1:4" ht="13" x14ac:dyDescent="0.15">
      <c r="A127" t="s">
        <v>351</v>
      </c>
      <c r="B127" t="s">
        <v>964</v>
      </c>
      <c r="C127" t="s">
        <v>350</v>
      </c>
      <c r="D127" s="16" t="s">
        <v>930</v>
      </c>
    </row>
    <row r="128" spans="1:4" ht="14" x14ac:dyDescent="0.15">
      <c r="A128" s="15" t="s">
        <v>364</v>
      </c>
      <c r="B128" s="15"/>
      <c r="C128" s="15" t="s">
        <v>974</v>
      </c>
      <c r="D128" s="16" t="s">
        <v>975</v>
      </c>
    </row>
    <row r="129" spans="1:4" ht="28" x14ac:dyDescent="0.15">
      <c r="A129" t="s">
        <v>370</v>
      </c>
      <c r="B129" s="15" t="s">
        <v>956</v>
      </c>
      <c r="C129" s="15" t="s">
        <v>976</v>
      </c>
      <c r="D129" s="16" t="s">
        <v>930</v>
      </c>
    </row>
    <row r="130" spans="1:4" ht="56" x14ac:dyDescent="0.15">
      <c r="A130" t="s">
        <v>373</v>
      </c>
      <c r="B130" s="15" t="s">
        <v>956</v>
      </c>
      <c r="C130" s="15" t="s">
        <v>977</v>
      </c>
      <c r="D130" s="16" t="s">
        <v>930</v>
      </c>
    </row>
    <row r="131" spans="1:4" ht="42" x14ac:dyDescent="0.15">
      <c r="A131" t="s">
        <v>978</v>
      </c>
      <c r="B131" s="15" t="s">
        <v>956</v>
      </c>
      <c r="C131" s="15" t="s">
        <v>979</v>
      </c>
      <c r="D131" s="16" t="s">
        <v>930</v>
      </c>
    </row>
    <row r="132" spans="1:4" ht="42" x14ac:dyDescent="0.15">
      <c r="A132" t="s">
        <v>375</v>
      </c>
      <c r="B132" s="15" t="s">
        <v>956</v>
      </c>
      <c r="C132" s="15" t="s">
        <v>980</v>
      </c>
      <c r="D132" s="16" t="s">
        <v>930</v>
      </c>
    </row>
    <row r="133" spans="1:4" ht="28" x14ac:dyDescent="0.15">
      <c r="A133" t="s">
        <v>981</v>
      </c>
      <c r="B133" s="15" t="s">
        <v>956</v>
      </c>
      <c r="C133" s="15" t="s">
        <v>982</v>
      </c>
      <c r="D133" s="16" t="s">
        <v>930</v>
      </c>
    </row>
    <row r="134" spans="1:4" ht="28" x14ac:dyDescent="0.15">
      <c r="A134" t="s">
        <v>377</v>
      </c>
      <c r="B134" s="15" t="s">
        <v>956</v>
      </c>
      <c r="C134" s="15" t="s">
        <v>983</v>
      </c>
      <c r="D134" s="16" t="s">
        <v>930</v>
      </c>
    </row>
    <row r="135" spans="1:4" ht="28" x14ac:dyDescent="0.15">
      <c r="A135" t="s">
        <v>384</v>
      </c>
      <c r="B135" s="15" t="s">
        <v>984</v>
      </c>
      <c r="C135" t="s">
        <v>383</v>
      </c>
      <c r="D135" s="1" t="s">
        <v>387</v>
      </c>
    </row>
    <row r="136" spans="1:4" ht="28" x14ac:dyDescent="0.15">
      <c r="A136" t="s">
        <v>985</v>
      </c>
      <c r="B136" s="15" t="s">
        <v>984</v>
      </c>
      <c r="C136" s="15" t="s">
        <v>986</v>
      </c>
      <c r="D136" s="1" t="s">
        <v>387</v>
      </c>
    </row>
    <row r="137" spans="1:4" ht="28" x14ac:dyDescent="0.15">
      <c r="A137" t="s">
        <v>389</v>
      </c>
      <c r="B137" s="15" t="s">
        <v>984</v>
      </c>
      <c r="C137" s="15" t="s">
        <v>388</v>
      </c>
      <c r="D137" s="1" t="s">
        <v>387</v>
      </c>
    </row>
    <row r="138" spans="1:4" ht="28" x14ac:dyDescent="0.15">
      <c r="A138" t="s">
        <v>987</v>
      </c>
      <c r="B138" s="15" t="s">
        <v>984</v>
      </c>
      <c r="C138" s="15" t="s">
        <v>988</v>
      </c>
      <c r="D138" s="1" t="s">
        <v>387</v>
      </c>
    </row>
    <row r="139" spans="1:4" ht="56" x14ac:dyDescent="0.15">
      <c r="A139" t="s">
        <v>391</v>
      </c>
      <c r="B139" s="15" t="s">
        <v>984</v>
      </c>
      <c r="C139" s="15" t="s">
        <v>390</v>
      </c>
      <c r="D139" s="1" t="s">
        <v>387</v>
      </c>
    </row>
    <row r="140" spans="1:4" ht="28" x14ac:dyDescent="0.15">
      <c r="A140" t="s">
        <v>394</v>
      </c>
      <c r="B140" s="15" t="s">
        <v>984</v>
      </c>
      <c r="C140" s="15" t="s">
        <v>393</v>
      </c>
      <c r="D140" s="1" t="s">
        <v>387</v>
      </c>
    </row>
    <row r="141" spans="1:4" ht="28" x14ac:dyDescent="0.15">
      <c r="A141" t="s">
        <v>989</v>
      </c>
      <c r="B141" s="15" t="s">
        <v>984</v>
      </c>
      <c r="C141" s="15" t="s">
        <v>990</v>
      </c>
      <c r="D141" s="1" t="s">
        <v>387</v>
      </c>
    </row>
    <row r="142" spans="1:4" ht="28" x14ac:dyDescent="0.15">
      <c r="A142" t="s">
        <v>991</v>
      </c>
      <c r="B142" s="15" t="s">
        <v>984</v>
      </c>
      <c r="C142" s="15" t="s">
        <v>992</v>
      </c>
      <c r="D142" s="1" t="s">
        <v>387</v>
      </c>
    </row>
    <row r="143" spans="1:4" ht="28" x14ac:dyDescent="0.15">
      <c r="A143" t="s">
        <v>993</v>
      </c>
      <c r="B143" s="15" t="s">
        <v>984</v>
      </c>
      <c r="C143" s="15" t="s">
        <v>994</v>
      </c>
      <c r="D143" s="1" t="s">
        <v>387</v>
      </c>
    </row>
    <row r="144" spans="1:4" ht="28" x14ac:dyDescent="0.15">
      <c r="A144" t="s">
        <v>396</v>
      </c>
      <c r="B144" s="15" t="s">
        <v>984</v>
      </c>
      <c r="C144" s="15" t="s">
        <v>395</v>
      </c>
      <c r="D144" s="1" t="s">
        <v>387</v>
      </c>
    </row>
    <row r="145" spans="1:4" ht="28" x14ac:dyDescent="0.15">
      <c r="A145" t="s">
        <v>398</v>
      </c>
      <c r="B145" s="15" t="s">
        <v>984</v>
      </c>
      <c r="C145" s="15" t="s">
        <v>397</v>
      </c>
      <c r="D145" s="1" t="s">
        <v>387</v>
      </c>
    </row>
    <row r="146" spans="1:4" ht="28" x14ac:dyDescent="0.15">
      <c r="A146" t="s">
        <v>995</v>
      </c>
      <c r="B146" s="15" t="s">
        <v>984</v>
      </c>
      <c r="C146" s="15" t="s">
        <v>934</v>
      </c>
      <c r="D146" s="1" t="s">
        <v>387</v>
      </c>
    </row>
    <row r="147" spans="1:4" ht="28" x14ac:dyDescent="0.15">
      <c r="A147" t="s">
        <v>996</v>
      </c>
      <c r="B147" s="15" t="s">
        <v>984</v>
      </c>
      <c r="C147" s="15" t="s">
        <v>997</v>
      </c>
      <c r="D147" s="1" t="s">
        <v>387</v>
      </c>
    </row>
    <row r="148" spans="1:4" ht="28" x14ac:dyDescent="0.15">
      <c r="A148" t="s">
        <v>998</v>
      </c>
      <c r="B148" s="15" t="s">
        <v>999</v>
      </c>
      <c r="C148" t="s">
        <v>932</v>
      </c>
      <c r="D148" s="1" t="s">
        <v>387</v>
      </c>
    </row>
    <row r="149" spans="1:4" ht="42" x14ac:dyDescent="0.15">
      <c r="A149" t="s">
        <v>1000</v>
      </c>
      <c r="B149" s="15" t="s">
        <v>999</v>
      </c>
      <c r="C149" s="15" t="s">
        <v>1001</v>
      </c>
      <c r="D149" s="1" t="s">
        <v>387</v>
      </c>
    </row>
    <row r="150" spans="1:4" ht="28" x14ac:dyDescent="0.15">
      <c r="A150" t="s">
        <v>401</v>
      </c>
      <c r="B150" s="15" t="s">
        <v>999</v>
      </c>
      <c r="C150" s="15" t="s">
        <v>1002</v>
      </c>
      <c r="D150" s="1" t="s">
        <v>387</v>
      </c>
    </row>
    <row r="151" spans="1:4" ht="28" x14ac:dyDescent="0.15">
      <c r="A151" t="s">
        <v>404</v>
      </c>
      <c r="B151" s="15" t="s">
        <v>999</v>
      </c>
      <c r="C151" s="15" t="s">
        <v>1003</v>
      </c>
      <c r="D151" s="1" t="s">
        <v>387</v>
      </c>
    </row>
    <row r="152" spans="1:4" ht="70" x14ac:dyDescent="0.15">
      <c r="A152" t="s">
        <v>1004</v>
      </c>
      <c r="B152" s="15" t="s">
        <v>1005</v>
      </c>
      <c r="C152" s="15" t="s">
        <v>1006</v>
      </c>
      <c r="D152" s="16" t="s">
        <v>1007</v>
      </c>
    </row>
    <row r="153" spans="1:4" ht="70" x14ac:dyDescent="0.15">
      <c r="A153" t="s">
        <v>1008</v>
      </c>
      <c r="B153" s="15" t="s">
        <v>1005</v>
      </c>
      <c r="C153" s="15" t="s">
        <v>1009</v>
      </c>
      <c r="D153" s="16" t="s">
        <v>1007</v>
      </c>
    </row>
    <row r="154" spans="1:4" ht="70" x14ac:dyDescent="0.15">
      <c r="A154" t="s">
        <v>1010</v>
      </c>
      <c r="B154" s="15" t="s">
        <v>1005</v>
      </c>
      <c r="C154" s="15" t="s">
        <v>1011</v>
      </c>
      <c r="D154" s="16" t="s">
        <v>1007</v>
      </c>
    </row>
    <row r="155" spans="1:4" ht="70" x14ac:dyDescent="0.15">
      <c r="A155" t="s">
        <v>1012</v>
      </c>
      <c r="B155" s="15" t="s">
        <v>1005</v>
      </c>
      <c r="C155" s="15" t="s">
        <v>1013</v>
      </c>
      <c r="D155" s="16" t="s">
        <v>1007</v>
      </c>
    </row>
    <row r="156" spans="1:4" ht="70" x14ac:dyDescent="0.15">
      <c r="A156" t="s">
        <v>1014</v>
      </c>
      <c r="B156" s="15" t="s">
        <v>1005</v>
      </c>
      <c r="C156" s="15" t="s">
        <v>1015</v>
      </c>
      <c r="D156" s="16" t="s">
        <v>1007</v>
      </c>
    </row>
    <row r="157" spans="1:4" ht="70" x14ac:dyDescent="0.15">
      <c r="A157" t="s">
        <v>1016</v>
      </c>
      <c r="B157" s="15" t="s">
        <v>1005</v>
      </c>
      <c r="C157" s="15" t="s">
        <v>1017</v>
      </c>
      <c r="D157" s="16" t="s">
        <v>1007</v>
      </c>
    </row>
    <row r="158" spans="1:4" ht="70" x14ac:dyDescent="0.15">
      <c r="A158" t="s">
        <v>1018</v>
      </c>
      <c r="B158" s="15" t="s">
        <v>1005</v>
      </c>
      <c r="C158" s="15" t="s">
        <v>1019</v>
      </c>
      <c r="D158" s="16" t="s">
        <v>1007</v>
      </c>
    </row>
    <row r="159" spans="1:4" ht="70" x14ac:dyDescent="0.15">
      <c r="A159" t="s">
        <v>1020</v>
      </c>
      <c r="B159" s="15" t="s">
        <v>1005</v>
      </c>
      <c r="C159" s="15" t="s">
        <v>1021</v>
      </c>
      <c r="D159" s="16" t="s">
        <v>1007</v>
      </c>
    </row>
    <row r="160" spans="1:4" ht="70" x14ac:dyDescent="0.15">
      <c r="A160" t="s">
        <v>1022</v>
      </c>
      <c r="B160" s="15" t="s">
        <v>1005</v>
      </c>
      <c r="C160" s="15" t="s">
        <v>433</v>
      </c>
      <c r="D160" s="16" t="s">
        <v>1007</v>
      </c>
    </row>
    <row r="161" spans="1:4" ht="70" x14ac:dyDescent="0.15">
      <c r="A161" t="s">
        <v>1023</v>
      </c>
      <c r="B161" s="15" t="s">
        <v>1005</v>
      </c>
      <c r="C161" s="15" t="s">
        <v>1024</v>
      </c>
      <c r="D161" s="16" t="s">
        <v>1007</v>
      </c>
    </row>
    <row r="162" spans="1:4" ht="70" x14ac:dyDescent="0.15">
      <c r="A162" t="s">
        <v>1025</v>
      </c>
      <c r="B162" s="15" t="s">
        <v>1005</v>
      </c>
      <c r="C162" s="15" t="s">
        <v>1026</v>
      </c>
      <c r="D162" s="16" t="s">
        <v>1007</v>
      </c>
    </row>
    <row r="163" spans="1:4" ht="70" x14ac:dyDescent="0.15">
      <c r="A163" t="s">
        <v>1027</v>
      </c>
      <c r="B163" s="15" t="s">
        <v>1005</v>
      </c>
      <c r="C163" s="15" t="s">
        <v>1028</v>
      </c>
      <c r="D163" s="16" t="s">
        <v>1007</v>
      </c>
    </row>
    <row r="164" spans="1:4" ht="70" x14ac:dyDescent="0.15">
      <c r="A164" t="s">
        <v>1029</v>
      </c>
      <c r="B164" s="15" t="s">
        <v>1005</v>
      </c>
      <c r="C164" s="15" t="s">
        <v>1030</v>
      </c>
      <c r="D164" s="16" t="s">
        <v>1007</v>
      </c>
    </row>
    <row r="165" spans="1:4" ht="70" x14ac:dyDescent="0.15">
      <c r="A165" t="s">
        <v>1031</v>
      </c>
      <c r="B165" s="15" t="s">
        <v>1005</v>
      </c>
      <c r="C165" s="15" t="s">
        <v>1032</v>
      </c>
      <c r="D165" s="16" t="s">
        <v>1007</v>
      </c>
    </row>
    <row r="166" spans="1:4" ht="70" x14ac:dyDescent="0.15">
      <c r="A166" t="s">
        <v>1033</v>
      </c>
      <c r="B166" s="15" t="s">
        <v>1005</v>
      </c>
      <c r="C166" s="15" t="s">
        <v>1034</v>
      </c>
      <c r="D166" s="16" t="s">
        <v>1007</v>
      </c>
    </row>
    <row r="167" spans="1:4" ht="70" x14ac:dyDescent="0.15">
      <c r="A167" t="s">
        <v>1035</v>
      </c>
      <c r="B167" s="15" t="s">
        <v>1005</v>
      </c>
      <c r="C167" s="15" t="s">
        <v>1036</v>
      </c>
      <c r="D167" s="16" t="s">
        <v>1007</v>
      </c>
    </row>
    <row r="168" spans="1:4" ht="70" x14ac:dyDescent="0.15">
      <c r="A168" t="s">
        <v>1037</v>
      </c>
      <c r="B168" s="15" t="s">
        <v>1005</v>
      </c>
      <c r="C168" s="15" t="s">
        <v>1038</v>
      </c>
      <c r="D168" s="16" t="s">
        <v>1007</v>
      </c>
    </row>
    <row r="169" spans="1:4" ht="70" x14ac:dyDescent="0.15">
      <c r="A169" t="s">
        <v>1039</v>
      </c>
      <c r="B169" s="15" t="s">
        <v>1005</v>
      </c>
      <c r="C169" s="15" t="s">
        <v>1040</v>
      </c>
      <c r="D169" s="16" t="s">
        <v>1007</v>
      </c>
    </row>
    <row r="170" spans="1:4" ht="70" x14ac:dyDescent="0.15">
      <c r="A170" t="s">
        <v>449</v>
      </c>
      <c r="B170" s="15" t="s">
        <v>1041</v>
      </c>
      <c r="C170" s="15" t="s">
        <v>448</v>
      </c>
      <c r="D170" s="16" t="s">
        <v>1042</v>
      </c>
    </row>
    <row r="171" spans="1:4" ht="70" x14ac:dyDescent="0.15">
      <c r="A171" t="s">
        <v>453</v>
      </c>
      <c r="B171" s="15" t="s">
        <v>1041</v>
      </c>
      <c r="C171" s="15" t="s">
        <v>452</v>
      </c>
      <c r="D171" s="16" t="s">
        <v>1042</v>
      </c>
    </row>
    <row r="172" spans="1:4" ht="70" x14ac:dyDescent="0.15">
      <c r="A172" t="s">
        <v>456</v>
      </c>
      <c r="B172" s="15" t="s">
        <v>1041</v>
      </c>
      <c r="C172" t="s">
        <v>455</v>
      </c>
      <c r="D172" s="16" t="s">
        <v>1042</v>
      </c>
    </row>
    <row r="173" spans="1:4" ht="70" x14ac:dyDescent="0.15">
      <c r="A173" t="s">
        <v>459</v>
      </c>
      <c r="B173" s="15" t="s">
        <v>1041</v>
      </c>
      <c r="C173" t="s">
        <v>458</v>
      </c>
      <c r="D173" s="16" t="s">
        <v>1042</v>
      </c>
    </row>
    <row r="174" spans="1:4" ht="28" x14ac:dyDescent="0.15">
      <c r="A174" t="s">
        <v>461</v>
      </c>
      <c r="B174" s="15" t="s">
        <v>1043</v>
      </c>
      <c r="C174" t="s">
        <v>186</v>
      </c>
      <c r="D174" s="16" t="s">
        <v>1042</v>
      </c>
    </row>
    <row r="175" spans="1:4" ht="28" x14ac:dyDescent="0.15">
      <c r="A175" t="s">
        <v>462</v>
      </c>
      <c r="B175" s="15" t="s">
        <v>1043</v>
      </c>
      <c r="C175" t="s">
        <v>188</v>
      </c>
      <c r="D175" s="16" t="s">
        <v>1042</v>
      </c>
    </row>
    <row r="176" spans="1:4" ht="28" x14ac:dyDescent="0.15">
      <c r="A176" t="s">
        <v>464</v>
      </c>
      <c r="B176" s="15" t="s">
        <v>1043</v>
      </c>
      <c r="C176" t="s">
        <v>463</v>
      </c>
      <c r="D176" s="16" t="s">
        <v>1042</v>
      </c>
    </row>
    <row r="177" spans="1:4" ht="28" x14ac:dyDescent="0.15">
      <c r="A177" t="s">
        <v>465</v>
      </c>
      <c r="B177" s="15" t="s">
        <v>1043</v>
      </c>
      <c r="C177" s="15" t="s">
        <v>17</v>
      </c>
      <c r="D177" s="16" t="s">
        <v>1042</v>
      </c>
    </row>
    <row r="178" spans="1:4" ht="28" x14ac:dyDescent="0.15">
      <c r="A178" t="s">
        <v>466</v>
      </c>
      <c r="B178" s="15" t="s">
        <v>1043</v>
      </c>
      <c r="C178" s="15" t="s">
        <v>10</v>
      </c>
      <c r="D178" s="16" t="s">
        <v>1042</v>
      </c>
    </row>
    <row r="179" spans="1:4" ht="28" x14ac:dyDescent="0.15">
      <c r="A179" t="s">
        <v>467</v>
      </c>
      <c r="B179" s="15" t="s">
        <v>1043</v>
      </c>
      <c r="C179" s="15" t="s">
        <v>31</v>
      </c>
      <c r="D179" s="16" t="s">
        <v>1042</v>
      </c>
    </row>
    <row r="180" spans="1:4" ht="42" x14ac:dyDescent="0.15">
      <c r="A180" s="15" t="s">
        <v>1044</v>
      </c>
      <c r="B180" s="15" t="s">
        <v>1045</v>
      </c>
      <c r="C180" s="15"/>
      <c r="D180" s="16" t="s">
        <v>1046</v>
      </c>
    </row>
    <row r="181" spans="1:4" ht="28" x14ac:dyDescent="0.15">
      <c r="A181" s="15" t="s">
        <v>1047</v>
      </c>
      <c r="B181" s="15" t="s">
        <v>1048</v>
      </c>
      <c r="C181" s="15"/>
      <c r="D181" s="16" t="s">
        <v>1049</v>
      </c>
    </row>
    <row r="182" spans="1:4" ht="28" x14ac:dyDescent="0.15">
      <c r="A182" s="15" t="s">
        <v>1050</v>
      </c>
      <c r="B182" s="15" t="s">
        <v>1051</v>
      </c>
      <c r="C182" s="15"/>
      <c r="D182" s="16" t="s">
        <v>1052</v>
      </c>
    </row>
    <row r="183" spans="1:4" ht="42" x14ac:dyDescent="0.15">
      <c r="A183" s="15" t="s">
        <v>1053</v>
      </c>
      <c r="B183" s="15" t="s">
        <v>1054</v>
      </c>
      <c r="C183" s="15"/>
      <c r="D183" s="16" t="s">
        <v>1055</v>
      </c>
    </row>
    <row r="184" spans="1:4" ht="14" x14ac:dyDescent="0.15">
      <c r="A184" s="15" t="s">
        <v>1056</v>
      </c>
      <c r="B184" s="15" t="s">
        <v>1057</v>
      </c>
      <c r="C184" s="15"/>
      <c r="D184" s="16" t="s">
        <v>1055</v>
      </c>
    </row>
    <row r="185" spans="1:4" ht="28" x14ac:dyDescent="0.15">
      <c r="A185" s="15" t="s">
        <v>1058</v>
      </c>
      <c r="B185" s="15" t="s">
        <v>1059</v>
      </c>
      <c r="C185" s="15"/>
      <c r="D185" s="16" t="s">
        <v>1055</v>
      </c>
    </row>
    <row r="186" spans="1:4" ht="42" x14ac:dyDescent="0.15">
      <c r="A186" s="15" t="s">
        <v>1060</v>
      </c>
      <c r="B186" s="15" t="s">
        <v>1061</v>
      </c>
      <c r="C186" s="15"/>
      <c r="D186" s="16" t="s">
        <v>1055</v>
      </c>
    </row>
    <row r="187" spans="1:4" ht="42" x14ac:dyDescent="0.15">
      <c r="A187" s="15" t="s">
        <v>1062</v>
      </c>
      <c r="B187" s="15" t="s">
        <v>1063</v>
      </c>
      <c r="C187" s="15" t="s">
        <v>1064</v>
      </c>
      <c r="D187" s="16" t="s">
        <v>1065</v>
      </c>
    </row>
    <row r="188" spans="1:4" ht="14" x14ac:dyDescent="0.15">
      <c r="A188" s="15" t="s">
        <v>1066</v>
      </c>
      <c r="B188" s="15" t="s">
        <v>1067</v>
      </c>
      <c r="C188" s="15"/>
      <c r="D188" s="16" t="s">
        <v>1068</v>
      </c>
    </row>
    <row r="189" spans="1:4" ht="14" x14ac:dyDescent="0.15">
      <c r="A189" s="15" t="s">
        <v>1069</v>
      </c>
      <c r="B189" s="15" t="s">
        <v>1070</v>
      </c>
      <c r="C189" s="15" t="s">
        <v>1071</v>
      </c>
      <c r="D189" s="16" t="s">
        <v>1072</v>
      </c>
    </row>
    <row r="190" spans="1:4" ht="14" x14ac:dyDescent="0.15">
      <c r="A190" s="15" t="s">
        <v>1073</v>
      </c>
      <c r="B190" s="15" t="s">
        <v>1070</v>
      </c>
      <c r="C190" s="15" t="s">
        <v>1074</v>
      </c>
      <c r="D190" s="16" t="s">
        <v>1072</v>
      </c>
    </row>
    <row r="191" spans="1:4" ht="14" x14ac:dyDescent="0.15">
      <c r="A191" s="15" t="s">
        <v>1075</v>
      </c>
      <c r="B191" s="15" t="s">
        <v>1070</v>
      </c>
      <c r="C191" s="15" t="s">
        <v>1076</v>
      </c>
      <c r="D191" s="16" t="s">
        <v>1072</v>
      </c>
    </row>
    <row r="192" spans="1:4" ht="14" x14ac:dyDescent="0.15">
      <c r="A192" s="15" t="s">
        <v>1077</v>
      </c>
      <c r="B192" s="15" t="s">
        <v>1070</v>
      </c>
      <c r="C192" s="15" t="s">
        <v>1078</v>
      </c>
      <c r="D192" s="16" t="s">
        <v>1072</v>
      </c>
    </row>
    <row r="193" spans="1:4" ht="14" x14ac:dyDescent="0.15">
      <c r="A193" s="15" t="s">
        <v>1079</v>
      </c>
      <c r="B193" s="15" t="s">
        <v>1070</v>
      </c>
      <c r="C193" s="15" t="s">
        <v>1080</v>
      </c>
      <c r="D193" s="16" t="s">
        <v>1072</v>
      </c>
    </row>
    <row r="194" spans="1:4" ht="14" x14ac:dyDescent="0.15">
      <c r="A194" s="15" t="s">
        <v>1081</v>
      </c>
      <c r="B194" s="15" t="s">
        <v>1070</v>
      </c>
      <c r="C194" s="15" t="s">
        <v>650</v>
      </c>
      <c r="D194" s="16" t="s">
        <v>1072</v>
      </c>
    </row>
    <row r="195" spans="1:4" ht="14" x14ac:dyDescent="0.15">
      <c r="A195" t="s">
        <v>1082</v>
      </c>
      <c r="B195" t="s">
        <v>1083</v>
      </c>
      <c r="C195" s="15" t="s">
        <v>1084</v>
      </c>
      <c r="D195" s="16" t="s">
        <v>1072</v>
      </c>
    </row>
    <row r="196" spans="1:4" ht="14" x14ac:dyDescent="0.15">
      <c r="A196" t="s">
        <v>1085</v>
      </c>
      <c r="B196" t="s">
        <v>1083</v>
      </c>
      <c r="C196" s="15" t="s">
        <v>1086</v>
      </c>
      <c r="D196" s="16" t="s">
        <v>1072</v>
      </c>
    </row>
    <row r="197" spans="1:4" ht="14" x14ac:dyDescent="0.15">
      <c r="A197" t="s">
        <v>1087</v>
      </c>
      <c r="B197" t="s">
        <v>1083</v>
      </c>
      <c r="C197" s="15" t="s">
        <v>1088</v>
      </c>
      <c r="D197" s="16" t="s">
        <v>1072</v>
      </c>
    </row>
    <row r="198" spans="1:4" ht="14" x14ac:dyDescent="0.15">
      <c r="A198" t="s">
        <v>1089</v>
      </c>
      <c r="B198" t="s">
        <v>1083</v>
      </c>
      <c r="C198" s="15" t="s">
        <v>1090</v>
      </c>
      <c r="D198" s="16" t="s">
        <v>1072</v>
      </c>
    </row>
    <row r="199" spans="1:4" ht="14" x14ac:dyDescent="0.15">
      <c r="A199" t="s">
        <v>1091</v>
      </c>
      <c r="B199" t="s">
        <v>1083</v>
      </c>
      <c r="C199" s="15" t="s">
        <v>1092</v>
      </c>
      <c r="D199" s="16" t="s">
        <v>1072</v>
      </c>
    </row>
    <row r="200" spans="1:4" ht="14" x14ac:dyDescent="0.15">
      <c r="A200" t="s">
        <v>1093</v>
      </c>
      <c r="B200" t="s">
        <v>1083</v>
      </c>
      <c r="C200" s="15" t="s">
        <v>1094</v>
      </c>
      <c r="D200" s="16" t="s">
        <v>1072</v>
      </c>
    </row>
    <row r="201" spans="1:4" ht="14" x14ac:dyDescent="0.15">
      <c r="A201" t="s">
        <v>1095</v>
      </c>
      <c r="B201" t="s">
        <v>1083</v>
      </c>
      <c r="C201" s="15" t="s">
        <v>1096</v>
      </c>
      <c r="D201" s="16" t="s">
        <v>1072</v>
      </c>
    </row>
    <row r="202" spans="1:4" ht="14" x14ac:dyDescent="0.15">
      <c r="A202" t="s">
        <v>1097</v>
      </c>
      <c r="B202" t="s">
        <v>1083</v>
      </c>
      <c r="C202" s="15" t="s">
        <v>1098</v>
      </c>
      <c r="D202" s="16" t="s">
        <v>1072</v>
      </c>
    </row>
    <row r="203" spans="1:4" ht="14" x14ac:dyDescent="0.15">
      <c r="A203" t="s">
        <v>1099</v>
      </c>
      <c r="B203" t="s">
        <v>1083</v>
      </c>
      <c r="C203" s="15" t="s">
        <v>1100</v>
      </c>
      <c r="D203" s="16" t="s">
        <v>1072</v>
      </c>
    </row>
    <row r="204" spans="1:4" ht="14" x14ac:dyDescent="0.15">
      <c r="A204" t="s">
        <v>1101</v>
      </c>
      <c r="B204" t="s">
        <v>1083</v>
      </c>
      <c r="C204" s="15" t="s">
        <v>1102</v>
      </c>
      <c r="D204" s="16" t="s">
        <v>1072</v>
      </c>
    </row>
    <row r="205" spans="1:4" ht="14" x14ac:dyDescent="0.15">
      <c r="A205" t="s">
        <v>1103</v>
      </c>
      <c r="B205" t="s">
        <v>1083</v>
      </c>
      <c r="C205" s="15" t="s">
        <v>1104</v>
      </c>
      <c r="D205" s="16" t="s">
        <v>1072</v>
      </c>
    </row>
    <row r="206" spans="1:4" ht="14" x14ac:dyDescent="0.15">
      <c r="A206" t="s">
        <v>1105</v>
      </c>
      <c r="B206" t="s">
        <v>1083</v>
      </c>
      <c r="C206" s="15" t="s">
        <v>1106</v>
      </c>
      <c r="D206" s="16" t="s">
        <v>1072</v>
      </c>
    </row>
    <row r="207" spans="1:4" ht="14" x14ac:dyDescent="0.15">
      <c r="A207" t="s">
        <v>1107</v>
      </c>
      <c r="B207" t="s">
        <v>1083</v>
      </c>
      <c r="C207" s="15" t="s">
        <v>1108</v>
      </c>
      <c r="D207" s="16" t="s">
        <v>1072</v>
      </c>
    </row>
    <row r="208" spans="1:4" ht="56" x14ac:dyDescent="0.15">
      <c r="A208" s="15" t="s">
        <v>478</v>
      </c>
      <c r="B208" s="15" t="s">
        <v>1109</v>
      </c>
      <c r="C208" s="15"/>
      <c r="D208" s="1" t="s">
        <v>1110</v>
      </c>
    </row>
    <row r="209" spans="1:4" ht="28" x14ac:dyDescent="0.15">
      <c r="A209" s="15" t="s">
        <v>1111</v>
      </c>
      <c r="B209" s="15" t="s">
        <v>1112</v>
      </c>
      <c r="C209" s="15" t="s">
        <v>1113</v>
      </c>
      <c r="D209" s="16" t="s">
        <v>1072</v>
      </c>
    </row>
    <row r="210" spans="1:4" ht="28" x14ac:dyDescent="0.15">
      <c r="A210" s="15" t="s">
        <v>1114</v>
      </c>
      <c r="B210" s="15" t="s">
        <v>1112</v>
      </c>
      <c r="C210" s="15" t="s">
        <v>1115</v>
      </c>
      <c r="D210" s="16" t="s">
        <v>1072</v>
      </c>
    </row>
    <row r="211" spans="1:4" ht="28" x14ac:dyDescent="0.15">
      <c r="A211" s="15" t="s">
        <v>1116</v>
      </c>
      <c r="B211" s="15" t="s">
        <v>1112</v>
      </c>
      <c r="C211" s="15" t="s">
        <v>1117</v>
      </c>
      <c r="D211" s="16" t="s">
        <v>1072</v>
      </c>
    </row>
    <row r="212" spans="1:4" ht="28" x14ac:dyDescent="0.15">
      <c r="A212" s="15" t="s">
        <v>1118</v>
      </c>
      <c r="B212" s="15" t="s">
        <v>1112</v>
      </c>
      <c r="C212" s="15" t="s">
        <v>1119</v>
      </c>
      <c r="D212" s="16" t="s">
        <v>1072</v>
      </c>
    </row>
    <row r="213" spans="1:4" ht="28" x14ac:dyDescent="0.15">
      <c r="A213" s="15" t="s">
        <v>1120</v>
      </c>
      <c r="B213" s="15" t="s">
        <v>1112</v>
      </c>
      <c r="C213" s="15" t="s">
        <v>1121</v>
      </c>
      <c r="D213" s="16" t="s">
        <v>1072</v>
      </c>
    </row>
    <row r="214" spans="1:4" ht="28" x14ac:dyDescent="0.15">
      <c r="A214" s="15" t="s">
        <v>1122</v>
      </c>
      <c r="B214" s="15" t="s">
        <v>1112</v>
      </c>
      <c r="C214" s="15" t="s">
        <v>1123</v>
      </c>
      <c r="D214" s="16" t="s">
        <v>1072</v>
      </c>
    </row>
    <row r="215" spans="1:4" ht="28" x14ac:dyDescent="0.15">
      <c r="A215" s="15" t="s">
        <v>1124</v>
      </c>
      <c r="B215" s="15" t="s">
        <v>1112</v>
      </c>
      <c r="C215" s="15" t="s">
        <v>1125</v>
      </c>
      <c r="D215" s="16" t="s">
        <v>1072</v>
      </c>
    </row>
    <row r="216" spans="1:4" ht="28" x14ac:dyDescent="0.15">
      <c r="A216" s="15" t="s">
        <v>1126</v>
      </c>
      <c r="B216" s="15" t="s">
        <v>1112</v>
      </c>
      <c r="C216" s="15" t="s">
        <v>1127</v>
      </c>
      <c r="D216" s="16" t="s">
        <v>1072</v>
      </c>
    </row>
    <row r="217" spans="1:4" ht="28" x14ac:dyDescent="0.15">
      <c r="A217" s="15" t="s">
        <v>1128</v>
      </c>
      <c r="B217" s="15" t="s">
        <v>1112</v>
      </c>
      <c r="C217" s="15" t="s">
        <v>650</v>
      </c>
      <c r="D217" s="16" t="s">
        <v>1072</v>
      </c>
    </row>
    <row r="218" spans="1:4" ht="42" x14ac:dyDescent="0.15">
      <c r="A218" s="15" t="s">
        <v>1129</v>
      </c>
      <c r="B218" s="15" t="s">
        <v>1130</v>
      </c>
      <c r="C218" s="15"/>
      <c r="D218" s="16" t="s">
        <v>1131</v>
      </c>
    </row>
    <row r="219" spans="1:4" ht="28" x14ac:dyDescent="0.15">
      <c r="A219" s="15" t="s">
        <v>1132</v>
      </c>
      <c r="B219" s="15" t="s">
        <v>1133</v>
      </c>
      <c r="C219" s="15"/>
      <c r="D219" s="16" t="s">
        <v>1134</v>
      </c>
    </row>
    <row r="220" spans="1:4" ht="14" x14ac:dyDescent="0.15">
      <c r="A220" s="15" t="s">
        <v>1135</v>
      </c>
      <c r="B220" s="15" t="s">
        <v>1136</v>
      </c>
      <c r="C220" s="15"/>
      <c r="D220" s="16" t="s">
        <v>1131</v>
      </c>
    </row>
    <row r="221" spans="1:4" ht="28" x14ac:dyDescent="0.15">
      <c r="A221" s="15" t="s">
        <v>1137</v>
      </c>
      <c r="B221" s="15" t="s">
        <v>1138</v>
      </c>
      <c r="C221" t="s">
        <v>1139</v>
      </c>
      <c r="D221" s="16" t="s">
        <v>1072</v>
      </c>
    </row>
    <row r="222" spans="1:4" ht="28" x14ac:dyDescent="0.15">
      <c r="A222" s="15" t="s">
        <v>1140</v>
      </c>
      <c r="B222" s="15" t="s">
        <v>1138</v>
      </c>
      <c r="C222" s="15" t="s">
        <v>1141</v>
      </c>
      <c r="D222" s="16" t="s">
        <v>1072</v>
      </c>
    </row>
    <row r="223" spans="1:4" ht="28" x14ac:dyDescent="0.15">
      <c r="A223" s="15" t="s">
        <v>1142</v>
      </c>
      <c r="B223" s="15" t="s">
        <v>1138</v>
      </c>
      <c r="C223" t="s">
        <v>1143</v>
      </c>
      <c r="D223" s="16" t="s">
        <v>1072</v>
      </c>
    </row>
    <row r="224" spans="1:4" ht="28" x14ac:dyDescent="0.15">
      <c r="A224" s="15" t="s">
        <v>1144</v>
      </c>
      <c r="B224" s="15" t="s">
        <v>1138</v>
      </c>
      <c r="C224" t="s">
        <v>1145</v>
      </c>
      <c r="D224" s="16" t="s">
        <v>1072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23"/>
  <sheetViews>
    <sheetView workbookViewId="0">
      <pane ySplit="1" topLeftCell="A74" activePane="bottomLeft" state="frozen"/>
      <selection pane="bottomLeft" activeCell="D59" sqref="D59"/>
    </sheetView>
  </sheetViews>
  <sheetFormatPr baseColWidth="10" defaultColWidth="12.6640625" defaultRowHeight="15.75" customHeight="1" x14ac:dyDescent="0.15"/>
  <cols>
    <col min="1" max="1" width="28.83203125" bestFit="1" customWidth="1"/>
    <col min="2" max="2" width="66.5" bestFit="1" customWidth="1"/>
    <col min="3" max="3" width="44.33203125" bestFit="1" customWidth="1"/>
    <col min="4" max="4" width="34" customWidth="1"/>
  </cols>
  <sheetData>
    <row r="1" spans="1:4" ht="15.75" customHeight="1" x14ac:dyDescent="0.15">
      <c r="A1" s="15" t="s">
        <v>2</v>
      </c>
      <c r="B1" s="15" t="s">
        <v>770</v>
      </c>
      <c r="C1" s="15" t="s">
        <v>771</v>
      </c>
      <c r="D1" s="16" t="s">
        <v>772</v>
      </c>
    </row>
    <row r="2" spans="1:4" ht="15.75" customHeight="1" x14ac:dyDescent="0.15">
      <c r="A2" t="s">
        <v>1177</v>
      </c>
      <c r="B2" s="22" t="s">
        <v>1299</v>
      </c>
      <c r="C2" s="22" t="s">
        <v>117</v>
      </c>
      <c r="D2" s="22" t="s">
        <v>1303</v>
      </c>
    </row>
    <row r="3" spans="1:4" ht="15.75" customHeight="1" x14ac:dyDescent="0.15">
      <c r="A3" t="s">
        <v>1178</v>
      </c>
      <c r="B3" s="22" t="s">
        <v>1299</v>
      </c>
      <c r="C3" s="22" t="s">
        <v>120</v>
      </c>
      <c r="D3" s="22" t="s">
        <v>1303</v>
      </c>
    </row>
    <row r="4" spans="1:4" ht="15.75" customHeight="1" x14ac:dyDescent="0.15">
      <c r="A4" t="s">
        <v>1179</v>
      </c>
      <c r="B4" s="22" t="s">
        <v>1299</v>
      </c>
      <c r="C4" s="22" t="s">
        <v>1300</v>
      </c>
      <c r="D4" s="22" t="s">
        <v>1303</v>
      </c>
    </row>
    <row r="5" spans="1:4" ht="15.75" customHeight="1" x14ac:dyDescent="0.15">
      <c r="A5" t="s">
        <v>1180</v>
      </c>
      <c r="B5" s="22" t="s">
        <v>1299</v>
      </c>
      <c r="C5" s="22" t="s">
        <v>1301</v>
      </c>
      <c r="D5" s="22" t="s">
        <v>1303</v>
      </c>
    </row>
    <row r="6" spans="1:4" ht="15.75" customHeight="1" x14ac:dyDescent="0.15">
      <c r="A6" t="s">
        <v>1181</v>
      </c>
      <c r="B6" s="22" t="s">
        <v>1299</v>
      </c>
      <c r="C6" s="22" t="s">
        <v>123</v>
      </c>
      <c r="D6" s="22" t="s">
        <v>1303</v>
      </c>
    </row>
    <row r="7" spans="1:4" ht="15.75" customHeight="1" x14ac:dyDescent="0.15">
      <c r="A7" t="s">
        <v>1182</v>
      </c>
      <c r="B7" s="22" t="s">
        <v>1299</v>
      </c>
      <c r="C7" s="22" t="s">
        <v>1302</v>
      </c>
      <c r="D7" s="22" t="s">
        <v>1303</v>
      </c>
    </row>
    <row r="8" spans="1:4" ht="15.75" customHeight="1" x14ac:dyDescent="0.15">
      <c r="A8" t="s">
        <v>1183</v>
      </c>
      <c r="B8" s="22" t="s">
        <v>1304</v>
      </c>
      <c r="C8" s="22" t="s">
        <v>82</v>
      </c>
      <c r="D8" s="22" t="s">
        <v>1305</v>
      </c>
    </row>
    <row r="9" spans="1:4" ht="15.75" customHeight="1" x14ac:dyDescent="0.15">
      <c r="A9" t="s">
        <v>1184</v>
      </c>
      <c r="B9" s="22" t="s">
        <v>1304</v>
      </c>
      <c r="C9" s="22" t="s">
        <v>10</v>
      </c>
      <c r="D9" s="22" t="s">
        <v>1305</v>
      </c>
    </row>
    <row r="10" spans="1:4" ht="15.75" customHeight="1" x14ac:dyDescent="0.15">
      <c r="A10" t="s">
        <v>1185</v>
      </c>
      <c r="B10" s="22" t="s">
        <v>1304</v>
      </c>
      <c r="C10" s="22" t="s">
        <v>31</v>
      </c>
      <c r="D10" s="22" t="s">
        <v>1305</v>
      </c>
    </row>
    <row r="11" spans="1:4" ht="15.75" customHeight="1" x14ac:dyDescent="0.15">
      <c r="A11" t="s">
        <v>1186</v>
      </c>
      <c r="B11" s="22" t="s">
        <v>1304</v>
      </c>
      <c r="C11" s="22" t="s">
        <v>17</v>
      </c>
      <c r="D11" s="22" t="s">
        <v>1305</v>
      </c>
    </row>
    <row r="12" spans="1:4" ht="15.75" customHeight="1" x14ac:dyDescent="0.15">
      <c r="A12" t="s">
        <v>1187</v>
      </c>
      <c r="C12" s="23" t="s">
        <v>913</v>
      </c>
      <c r="D12" s="16" t="s">
        <v>907</v>
      </c>
    </row>
    <row r="13" spans="1:4" ht="15.75" customHeight="1" x14ac:dyDescent="0.15">
      <c r="A13" t="s">
        <v>1188</v>
      </c>
      <c r="C13" s="22" t="s">
        <v>914</v>
      </c>
      <c r="D13" s="16" t="s">
        <v>907</v>
      </c>
    </row>
    <row r="14" spans="1:4" ht="15.75" customHeight="1" x14ac:dyDescent="0.15">
      <c r="A14" t="s">
        <v>1189</v>
      </c>
      <c r="C14" s="22" t="s">
        <v>916</v>
      </c>
      <c r="D14" s="16" t="s">
        <v>907</v>
      </c>
    </row>
    <row r="15" spans="1:4" ht="15.75" customHeight="1" x14ac:dyDescent="0.15">
      <c r="A15" t="s">
        <v>1190</v>
      </c>
      <c r="C15" s="22" t="s">
        <v>917</v>
      </c>
      <c r="D15" s="16" t="s">
        <v>907</v>
      </c>
    </row>
    <row r="16" spans="1:4" ht="15.75" customHeight="1" x14ac:dyDescent="0.15">
      <c r="A16" t="s">
        <v>1191</v>
      </c>
      <c r="C16" s="22" t="s">
        <v>918</v>
      </c>
      <c r="D16" s="16" t="s">
        <v>907</v>
      </c>
    </row>
    <row r="17" spans="1:4" ht="15.75" customHeight="1" x14ac:dyDescent="0.15">
      <c r="A17" t="s">
        <v>1192</v>
      </c>
      <c r="C17" s="22" t="s">
        <v>919</v>
      </c>
      <c r="D17" s="16" t="s">
        <v>907</v>
      </c>
    </row>
    <row r="18" spans="1:4" ht="15.75" customHeight="1" x14ac:dyDescent="0.15">
      <c r="A18" t="s">
        <v>1193</v>
      </c>
      <c r="C18" s="22" t="s">
        <v>920</v>
      </c>
      <c r="D18" s="16" t="s">
        <v>907</v>
      </c>
    </row>
    <row r="19" spans="1:4" ht="15.75" customHeight="1" x14ac:dyDescent="0.15">
      <c r="A19" t="s">
        <v>1194</v>
      </c>
      <c r="C19" s="22" t="s">
        <v>921</v>
      </c>
      <c r="D19" s="16" t="s">
        <v>907</v>
      </c>
    </row>
    <row r="20" spans="1:4" ht="15.75" customHeight="1" x14ac:dyDescent="0.15">
      <c r="A20" t="s">
        <v>1195</v>
      </c>
      <c r="C20" s="22" t="s">
        <v>923</v>
      </c>
      <c r="D20" s="16" t="s">
        <v>907</v>
      </c>
    </row>
    <row r="21" spans="1:4" ht="15.75" customHeight="1" x14ac:dyDescent="0.15">
      <c r="A21" t="s">
        <v>1196</v>
      </c>
      <c r="C21" s="22" t="s">
        <v>1306</v>
      </c>
      <c r="D21" s="16" t="s">
        <v>907</v>
      </c>
    </row>
    <row r="22" spans="1:4" ht="15.75" customHeight="1" x14ac:dyDescent="0.15">
      <c r="A22" t="s">
        <v>1197</v>
      </c>
      <c r="C22" s="22" t="s">
        <v>925</v>
      </c>
      <c r="D22" s="16" t="s">
        <v>907</v>
      </c>
    </row>
    <row r="23" spans="1:4" ht="15.75" customHeight="1" x14ac:dyDescent="0.15">
      <c r="A23" t="s">
        <v>1198</v>
      </c>
      <c r="C23" s="22" t="s">
        <v>926</v>
      </c>
      <c r="D23" s="16" t="s">
        <v>907</v>
      </c>
    </row>
    <row r="24" spans="1:4" ht="15.75" customHeight="1" x14ac:dyDescent="0.15">
      <c r="A24" t="s">
        <v>1199</v>
      </c>
      <c r="B24" s="22" t="s">
        <v>928</v>
      </c>
      <c r="C24" s="22" t="s">
        <v>1307</v>
      </c>
      <c r="D24" s="16" t="s">
        <v>1309</v>
      </c>
    </row>
    <row r="25" spans="1:4" ht="15.75" customHeight="1" x14ac:dyDescent="0.15">
      <c r="A25" t="s">
        <v>1200</v>
      </c>
      <c r="B25" s="22" t="s">
        <v>928</v>
      </c>
      <c r="C25" s="22" t="s">
        <v>1308</v>
      </c>
      <c r="D25" s="16" t="s">
        <v>1309</v>
      </c>
    </row>
    <row r="26" spans="1:4" ht="15.75" customHeight="1" x14ac:dyDescent="0.15">
      <c r="A26" t="s">
        <v>1201</v>
      </c>
      <c r="B26" s="22" t="s">
        <v>928</v>
      </c>
      <c r="C26" s="22" t="s">
        <v>936</v>
      </c>
      <c r="D26" s="16" t="s">
        <v>1309</v>
      </c>
    </row>
    <row r="27" spans="1:4" ht="15.75" customHeight="1" x14ac:dyDescent="0.15">
      <c r="A27" t="s">
        <v>1202</v>
      </c>
      <c r="B27" s="22" t="s">
        <v>928</v>
      </c>
      <c r="C27" s="22" t="s">
        <v>941</v>
      </c>
      <c r="D27" s="16" t="s">
        <v>1309</v>
      </c>
    </row>
    <row r="28" spans="1:4" ht="15.75" customHeight="1" x14ac:dyDescent="0.15">
      <c r="A28" t="s">
        <v>1203</v>
      </c>
      <c r="B28" s="22" t="s">
        <v>928</v>
      </c>
      <c r="C28" s="22" t="s">
        <v>943</v>
      </c>
      <c r="D28" s="16" t="s">
        <v>1309</v>
      </c>
    </row>
    <row r="29" spans="1:4" ht="15.75" customHeight="1" x14ac:dyDescent="0.15">
      <c r="A29" t="s">
        <v>1204</v>
      </c>
      <c r="B29" s="22" t="s">
        <v>928</v>
      </c>
      <c r="C29" s="22" t="s">
        <v>946</v>
      </c>
      <c r="D29" s="16" t="s">
        <v>1309</v>
      </c>
    </row>
    <row r="30" spans="1:4" ht="15.75" customHeight="1" x14ac:dyDescent="0.15">
      <c r="A30" t="s">
        <v>1205</v>
      </c>
      <c r="B30" s="22" t="s">
        <v>961</v>
      </c>
      <c r="C30" s="22" t="s">
        <v>280</v>
      </c>
      <c r="D30" s="16" t="s">
        <v>1310</v>
      </c>
    </row>
    <row r="31" spans="1:4" ht="15.75" customHeight="1" x14ac:dyDescent="0.15">
      <c r="A31" t="s">
        <v>1206</v>
      </c>
      <c r="B31" s="22" t="s">
        <v>961</v>
      </c>
      <c r="C31" s="22" t="s">
        <v>282</v>
      </c>
      <c r="D31" s="16" t="s">
        <v>1310</v>
      </c>
    </row>
    <row r="32" spans="1:4" ht="15.75" customHeight="1" x14ac:dyDescent="0.15">
      <c r="A32" t="s">
        <v>1207</v>
      </c>
      <c r="B32" s="22" t="s">
        <v>961</v>
      </c>
      <c r="C32" s="22" t="s">
        <v>284</v>
      </c>
      <c r="D32" s="16" t="s">
        <v>1310</v>
      </c>
    </row>
    <row r="33" spans="1:4" ht="15.75" customHeight="1" x14ac:dyDescent="0.15">
      <c r="A33" t="s">
        <v>1208</v>
      </c>
      <c r="B33" s="22" t="s">
        <v>961</v>
      </c>
      <c r="C33" s="22" t="s">
        <v>286</v>
      </c>
      <c r="D33" s="16" t="s">
        <v>1310</v>
      </c>
    </row>
    <row r="34" spans="1:4" ht="15.75" customHeight="1" x14ac:dyDescent="0.15">
      <c r="A34" t="s">
        <v>1209</v>
      </c>
      <c r="B34" s="22" t="s">
        <v>961</v>
      </c>
      <c r="C34" s="22" t="s">
        <v>288</v>
      </c>
      <c r="D34" s="16" t="s">
        <v>1310</v>
      </c>
    </row>
    <row r="35" spans="1:4" ht="15.75" customHeight="1" x14ac:dyDescent="0.15">
      <c r="A35" t="s">
        <v>1210</v>
      </c>
      <c r="B35" s="22" t="s">
        <v>961</v>
      </c>
      <c r="C35" s="22" t="s">
        <v>290</v>
      </c>
      <c r="D35" s="16" t="s">
        <v>1310</v>
      </c>
    </row>
    <row r="36" spans="1:4" ht="15.75" customHeight="1" x14ac:dyDescent="0.15">
      <c r="A36" t="s">
        <v>1211</v>
      </c>
      <c r="B36" s="22" t="s">
        <v>961</v>
      </c>
      <c r="C36" s="22" t="s">
        <v>292</v>
      </c>
      <c r="D36" s="16" t="s">
        <v>1310</v>
      </c>
    </row>
    <row r="37" spans="1:4" ht="15.75" customHeight="1" x14ac:dyDescent="0.15">
      <c r="A37" t="s">
        <v>1212</v>
      </c>
      <c r="B37" s="22" t="s">
        <v>963</v>
      </c>
      <c r="C37" s="22" t="s">
        <v>280</v>
      </c>
      <c r="D37" s="16" t="s">
        <v>1310</v>
      </c>
    </row>
    <row r="38" spans="1:4" ht="15.75" customHeight="1" x14ac:dyDescent="0.15">
      <c r="A38" t="s">
        <v>1213</v>
      </c>
      <c r="B38" s="22" t="s">
        <v>963</v>
      </c>
      <c r="C38" s="22" t="s">
        <v>282</v>
      </c>
      <c r="D38" s="16" t="s">
        <v>1310</v>
      </c>
    </row>
    <row r="39" spans="1:4" ht="15.75" customHeight="1" x14ac:dyDescent="0.15">
      <c r="A39" t="s">
        <v>1214</v>
      </c>
      <c r="B39" s="22" t="s">
        <v>963</v>
      </c>
      <c r="C39" s="22" t="s">
        <v>284</v>
      </c>
      <c r="D39" s="16" t="s">
        <v>1310</v>
      </c>
    </row>
    <row r="40" spans="1:4" ht="15.75" customHeight="1" x14ac:dyDescent="0.15">
      <c r="A40" t="s">
        <v>1215</v>
      </c>
      <c r="B40" s="22" t="s">
        <v>963</v>
      </c>
      <c r="C40" s="22" t="s">
        <v>286</v>
      </c>
      <c r="D40" s="16" t="s">
        <v>1310</v>
      </c>
    </row>
    <row r="41" spans="1:4" ht="15.75" customHeight="1" x14ac:dyDescent="0.15">
      <c r="A41" t="s">
        <v>1216</v>
      </c>
      <c r="B41" s="22" t="s">
        <v>963</v>
      </c>
      <c r="C41" s="22" t="s">
        <v>288</v>
      </c>
      <c r="D41" s="16" t="s">
        <v>1310</v>
      </c>
    </row>
    <row r="42" spans="1:4" ht="15.75" customHeight="1" x14ac:dyDescent="0.15">
      <c r="A42" t="s">
        <v>1217</v>
      </c>
      <c r="B42" s="22" t="s">
        <v>963</v>
      </c>
      <c r="C42" s="22" t="s">
        <v>290</v>
      </c>
      <c r="D42" s="16" t="s">
        <v>1310</v>
      </c>
    </row>
    <row r="43" spans="1:4" ht="15.75" customHeight="1" x14ac:dyDescent="0.15">
      <c r="A43" t="s">
        <v>1218</v>
      </c>
      <c r="B43" s="22" t="s">
        <v>963</v>
      </c>
      <c r="C43" s="22" t="s">
        <v>292</v>
      </c>
      <c r="D43" s="16" t="s">
        <v>1310</v>
      </c>
    </row>
    <row r="44" spans="1:4" ht="15.75" customHeight="1" x14ac:dyDescent="0.15">
      <c r="A44" t="s">
        <v>1219</v>
      </c>
      <c r="B44" s="22" t="s">
        <v>1311</v>
      </c>
      <c r="C44" s="22" t="s">
        <v>1312</v>
      </c>
      <c r="D44" s="16" t="s">
        <v>1309</v>
      </c>
    </row>
    <row r="45" spans="1:4" ht="15.75" customHeight="1" x14ac:dyDescent="0.15">
      <c r="A45" t="s">
        <v>1220</v>
      </c>
      <c r="B45" s="22" t="s">
        <v>1311</v>
      </c>
      <c r="C45" s="22" t="s">
        <v>1313</v>
      </c>
      <c r="D45" s="16" t="s">
        <v>1309</v>
      </c>
    </row>
    <row r="46" spans="1:4" ht="15.75" customHeight="1" x14ac:dyDescent="0.15">
      <c r="A46" t="s">
        <v>1221</v>
      </c>
      <c r="B46" s="22" t="s">
        <v>1311</v>
      </c>
      <c r="C46" s="22" t="s">
        <v>1314</v>
      </c>
      <c r="D46" s="16" t="s">
        <v>1309</v>
      </c>
    </row>
    <row r="47" spans="1:4" ht="15.75" customHeight="1" x14ac:dyDescent="0.15">
      <c r="A47" t="s">
        <v>1222</v>
      </c>
      <c r="B47" s="22" t="s">
        <v>1311</v>
      </c>
      <c r="C47" s="22" t="s">
        <v>1315</v>
      </c>
      <c r="D47" s="16" t="s">
        <v>1309</v>
      </c>
    </row>
    <row r="48" spans="1:4" ht="15.75" customHeight="1" x14ac:dyDescent="0.15">
      <c r="A48" t="s">
        <v>1223</v>
      </c>
      <c r="B48" s="22" t="s">
        <v>1311</v>
      </c>
      <c r="C48" s="22" t="s">
        <v>1316</v>
      </c>
      <c r="D48" s="16" t="s">
        <v>1309</v>
      </c>
    </row>
    <row r="49" spans="1:4" ht="15.75" customHeight="1" x14ac:dyDescent="0.15">
      <c r="A49" t="s">
        <v>1224</v>
      </c>
      <c r="B49" s="22" t="s">
        <v>1041</v>
      </c>
      <c r="C49" s="22" t="s">
        <v>186</v>
      </c>
      <c r="D49" s="16" t="s">
        <v>1317</v>
      </c>
    </row>
    <row r="50" spans="1:4" ht="15.75" customHeight="1" x14ac:dyDescent="0.15">
      <c r="A50" t="s">
        <v>1225</v>
      </c>
      <c r="B50" s="22" t="s">
        <v>1041</v>
      </c>
      <c r="C50" s="22" t="s">
        <v>448</v>
      </c>
      <c r="D50" s="16" t="s">
        <v>1317</v>
      </c>
    </row>
    <row r="51" spans="1:4" ht="15.75" customHeight="1" x14ac:dyDescent="0.15">
      <c r="A51" t="s">
        <v>1226</v>
      </c>
      <c r="B51" s="22" t="s">
        <v>1041</v>
      </c>
      <c r="C51" s="22" t="s">
        <v>188</v>
      </c>
      <c r="D51" s="16" t="s">
        <v>1317</v>
      </c>
    </row>
    <row r="52" spans="1:4" ht="15.75" customHeight="1" x14ac:dyDescent="0.15">
      <c r="A52" t="s">
        <v>1227</v>
      </c>
      <c r="B52" s="22" t="s">
        <v>1041</v>
      </c>
      <c r="C52" s="22" t="s">
        <v>17</v>
      </c>
      <c r="D52" s="16" t="s">
        <v>1317</v>
      </c>
    </row>
    <row r="53" spans="1:4" ht="15.75" customHeight="1" x14ac:dyDescent="0.15">
      <c r="A53" t="s">
        <v>1228</v>
      </c>
      <c r="B53" s="22" t="s">
        <v>1041</v>
      </c>
      <c r="C53" s="22" t="s">
        <v>10</v>
      </c>
      <c r="D53" s="16" t="s">
        <v>1317</v>
      </c>
    </row>
    <row r="54" spans="1:4" ht="15.75" customHeight="1" x14ac:dyDescent="0.15">
      <c r="A54" t="s">
        <v>1229</v>
      </c>
      <c r="C54" s="22" t="s">
        <v>1048</v>
      </c>
      <c r="D54" s="16" t="s">
        <v>1318</v>
      </c>
    </row>
    <row r="55" spans="1:4" ht="15.75" customHeight="1" x14ac:dyDescent="0.15">
      <c r="A55" t="s">
        <v>1230</v>
      </c>
      <c r="C55" s="22" t="s">
        <v>1051</v>
      </c>
      <c r="D55" s="16" t="s">
        <v>1319</v>
      </c>
    </row>
    <row r="56" spans="1:4" ht="15.75" customHeight="1" x14ac:dyDescent="0.15">
      <c r="A56" t="s">
        <v>1231</v>
      </c>
      <c r="C56" s="22" t="s">
        <v>1370</v>
      </c>
      <c r="D56" s="16" t="s">
        <v>1322</v>
      </c>
    </row>
    <row r="57" spans="1:4" ht="15.75" customHeight="1" x14ac:dyDescent="0.15">
      <c r="A57" t="s">
        <v>1232</v>
      </c>
      <c r="C57" s="22" t="s">
        <v>1370</v>
      </c>
      <c r="D57" s="16" t="s">
        <v>1321</v>
      </c>
    </row>
    <row r="58" spans="1:4" ht="15.75" customHeight="1" x14ac:dyDescent="0.15">
      <c r="A58" t="s">
        <v>1233</v>
      </c>
      <c r="C58" s="22" t="s">
        <v>1370</v>
      </c>
      <c r="D58" s="16" t="s">
        <v>1320</v>
      </c>
    </row>
    <row r="59" spans="1:4" ht="15.75" customHeight="1" x14ac:dyDescent="0.15">
      <c r="A59" t="s">
        <v>1234</v>
      </c>
      <c r="C59" s="15" t="s">
        <v>974</v>
      </c>
      <c r="D59" s="16" t="s">
        <v>975</v>
      </c>
    </row>
    <row r="60" spans="1:4" ht="15.75" customHeight="1" x14ac:dyDescent="0.15">
      <c r="A60" t="s">
        <v>1235</v>
      </c>
      <c r="C60" s="22" t="s">
        <v>1323</v>
      </c>
      <c r="D60" s="16" t="s">
        <v>1324</v>
      </c>
    </row>
    <row r="61" spans="1:4" ht="15.75" customHeight="1" x14ac:dyDescent="0.15">
      <c r="A61" t="s">
        <v>1236</v>
      </c>
      <c r="C61" s="22" t="s">
        <v>1323</v>
      </c>
      <c r="D61" s="16" t="s">
        <v>1325</v>
      </c>
    </row>
    <row r="62" spans="1:4" ht="15.75" customHeight="1" x14ac:dyDescent="0.15">
      <c r="A62" t="s">
        <v>1237</v>
      </c>
      <c r="B62" s="22" t="s">
        <v>1326</v>
      </c>
      <c r="C62" s="22" t="s">
        <v>1327</v>
      </c>
      <c r="D62" s="16" t="s">
        <v>1367</v>
      </c>
    </row>
    <row r="63" spans="1:4" ht="15.75" customHeight="1" x14ac:dyDescent="0.15">
      <c r="A63" t="s">
        <v>1238</v>
      </c>
      <c r="B63" s="22" t="s">
        <v>1326</v>
      </c>
      <c r="C63" s="22" t="s">
        <v>1328</v>
      </c>
      <c r="D63" s="16" t="s">
        <v>1367</v>
      </c>
    </row>
    <row r="64" spans="1:4" ht="15.75" customHeight="1" x14ac:dyDescent="0.15">
      <c r="A64" t="s">
        <v>1239</v>
      </c>
      <c r="B64" s="22" t="s">
        <v>1326</v>
      </c>
      <c r="C64" s="22" t="s">
        <v>1329</v>
      </c>
      <c r="D64" s="16" t="s">
        <v>1367</v>
      </c>
    </row>
    <row r="65" spans="1:4" ht="15.75" customHeight="1" x14ac:dyDescent="0.15">
      <c r="A65" t="s">
        <v>1240</v>
      </c>
      <c r="B65" s="22" t="s">
        <v>1326</v>
      </c>
      <c r="C65" s="22" t="s">
        <v>1330</v>
      </c>
      <c r="D65" s="16" t="s">
        <v>1367</v>
      </c>
    </row>
    <row r="66" spans="1:4" ht="15.75" customHeight="1" x14ac:dyDescent="0.15">
      <c r="A66" t="s">
        <v>1241</v>
      </c>
      <c r="B66" s="22" t="s">
        <v>1326</v>
      </c>
      <c r="C66" s="22" t="s">
        <v>1331</v>
      </c>
      <c r="D66" s="16" t="s">
        <v>1367</v>
      </c>
    </row>
    <row r="67" spans="1:4" ht="15.75" customHeight="1" x14ac:dyDescent="0.15">
      <c r="A67" t="s">
        <v>1242</v>
      </c>
      <c r="B67" s="22" t="s">
        <v>1326</v>
      </c>
      <c r="C67" s="22" t="s">
        <v>1332</v>
      </c>
      <c r="D67" s="16" t="s">
        <v>1367</v>
      </c>
    </row>
    <row r="68" spans="1:4" ht="15.75" customHeight="1" x14ac:dyDescent="0.15">
      <c r="A68" t="s">
        <v>1243</v>
      </c>
      <c r="B68" s="22" t="s">
        <v>1326</v>
      </c>
      <c r="C68" s="22" t="s">
        <v>1333</v>
      </c>
      <c r="D68" s="16" t="s">
        <v>1367</v>
      </c>
    </row>
    <row r="69" spans="1:4" ht="15.75" customHeight="1" x14ac:dyDescent="0.15">
      <c r="A69" t="s">
        <v>1244</v>
      </c>
      <c r="B69" s="22" t="s">
        <v>1326</v>
      </c>
      <c r="C69" s="22" t="s">
        <v>1334</v>
      </c>
      <c r="D69" s="16" t="s">
        <v>1367</v>
      </c>
    </row>
    <row r="70" spans="1:4" ht="15.75" customHeight="1" x14ac:dyDescent="0.15">
      <c r="A70" t="s">
        <v>1245</v>
      </c>
      <c r="B70" s="22" t="s">
        <v>1326</v>
      </c>
      <c r="C70" s="22" t="s">
        <v>1335</v>
      </c>
      <c r="D70" s="16" t="s">
        <v>1367</v>
      </c>
    </row>
    <row r="71" spans="1:4" ht="15.75" customHeight="1" x14ac:dyDescent="0.15">
      <c r="A71" t="s">
        <v>1246</v>
      </c>
      <c r="B71" s="22" t="s">
        <v>1326</v>
      </c>
      <c r="C71" s="22" t="s">
        <v>1336</v>
      </c>
      <c r="D71" s="16" t="s">
        <v>1367</v>
      </c>
    </row>
    <row r="72" spans="1:4" ht="15.75" customHeight="1" x14ac:dyDescent="0.15">
      <c r="A72" t="s">
        <v>1247</v>
      </c>
      <c r="B72" s="22" t="s">
        <v>1326</v>
      </c>
      <c r="C72" s="22" t="s">
        <v>1337</v>
      </c>
      <c r="D72" s="16" t="s">
        <v>1367</v>
      </c>
    </row>
    <row r="73" spans="1:4" ht="15.75" customHeight="1" x14ac:dyDescent="0.15">
      <c r="A73" t="s">
        <v>1248</v>
      </c>
      <c r="B73" s="22" t="s">
        <v>1326</v>
      </c>
      <c r="C73" s="22" t="s">
        <v>1338</v>
      </c>
      <c r="D73" s="16" t="s">
        <v>1367</v>
      </c>
    </row>
    <row r="74" spans="1:4" ht="15.75" customHeight="1" x14ac:dyDescent="0.15">
      <c r="A74" t="s">
        <v>1249</v>
      </c>
      <c r="B74" s="22" t="s">
        <v>1326</v>
      </c>
      <c r="C74" s="22" t="s">
        <v>1339</v>
      </c>
      <c r="D74" s="16" t="s">
        <v>1367</v>
      </c>
    </row>
    <row r="75" spans="1:4" ht="15.75" customHeight="1" x14ac:dyDescent="0.15">
      <c r="A75" t="s">
        <v>1250</v>
      </c>
      <c r="B75" s="22" t="s">
        <v>1326</v>
      </c>
      <c r="C75" s="22" t="s">
        <v>1340</v>
      </c>
      <c r="D75" s="16" t="s">
        <v>1367</v>
      </c>
    </row>
    <row r="76" spans="1:4" ht="15.75" customHeight="1" x14ac:dyDescent="0.15">
      <c r="A76" t="s">
        <v>1251</v>
      </c>
      <c r="B76" s="22" t="s">
        <v>1326</v>
      </c>
      <c r="C76" s="22" t="s">
        <v>1341</v>
      </c>
      <c r="D76" s="16" t="s">
        <v>1367</v>
      </c>
    </row>
    <row r="77" spans="1:4" ht="15.75" customHeight="1" x14ac:dyDescent="0.15">
      <c r="A77" t="s">
        <v>1252</v>
      </c>
      <c r="B77" s="22" t="s">
        <v>1326</v>
      </c>
      <c r="C77" s="22" t="s">
        <v>1342</v>
      </c>
      <c r="D77" s="16" t="s">
        <v>1367</v>
      </c>
    </row>
    <row r="78" spans="1:4" ht="15.75" customHeight="1" x14ac:dyDescent="0.15">
      <c r="A78" t="s">
        <v>1253</v>
      </c>
      <c r="B78" s="22" t="s">
        <v>1326</v>
      </c>
      <c r="C78" s="22" t="s">
        <v>1343</v>
      </c>
      <c r="D78" s="16" t="s">
        <v>1367</v>
      </c>
    </row>
    <row r="79" spans="1:4" ht="15.75" customHeight="1" x14ac:dyDescent="0.15">
      <c r="A79" t="s">
        <v>1254</v>
      </c>
      <c r="B79" s="22" t="s">
        <v>1326</v>
      </c>
      <c r="C79" s="22" t="s">
        <v>1344</v>
      </c>
      <c r="D79" s="16" t="s">
        <v>1367</v>
      </c>
    </row>
    <row r="80" spans="1:4" ht="15.75" customHeight="1" x14ac:dyDescent="0.15">
      <c r="A80" t="s">
        <v>1255</v>
      </c>
      <c r="B80" s="22" t="s">
        <v>1326</v>
      </c>
      <c r="C80" s="22" t="s">
        <v>1345</v>
      </c>
      <c r="D80" s="16" t="s">
        <v>1367</v>
      </c>
    </row>
    <row r="81" spans="1:4" ht="15.75" customHeight="1" x14ac:dyDescent="0.15">
      <c r="A81" t="s">
        <v>1256</v>
      </c>
      <c r="B81" s="22" t="s">
        <v>1326</v>
      </c>
      <c r="C81" s="22" t="s">
        <v>1346</v>
      </c>
      <c r="D81" s="16" t="s">
        <v>1367</v>
      </c>
    </row>
    <row r="82" spans="1:4" ht="15.75" customHeight="1" x14ac:dyDescent="0.15">
      <c r="A82" t="s">
        <v>1257</v>
      </c>
      <c r="B82" s="22" t="s">
        <v>1326</v>
      </c>
      <c r="C82" s="22" t="s">
        <v>1347</v>
      </c>
      <c r="D82" s="16" t="s">
        <v>1367</v>
      </c>
    </row>
    <row r="83" spans="1:4" ht="15.75" customHeight="1" x14ac:dyDescent="0.15">
      <c r="A83" t="s">
        <v>1258</v>
      </c>
      <c r="B83" s="22" t="s">
        <v>1326</v>
      </c>
      <c r="C83" s="22" t="s">
        <v>1348</v>
      </c>
      <c r="D83" s="16" t="s">
        <v>1367</v>
      </c>
    </row>
    <row r="84" spans="1:4" ht="15.75" customHeight="1" x14ac:dyDescent="0.15">
      <c r="A84" t="s">
        <v>1259</v>
      </c>
      <c r="B84" s="22" t="s">
        <v>1326</v>
      </c>
      <c r="C84" s="22" t="s">
        <v>1349</v>
      </c>
      <c r="D84" s="16" t="s">
        <v>1367</v>
      </c>
    </row>
    <row r="85" spans="1:4" ht="15.75" customHeight="1" x14ac:dyDescent="0.15">
      <c r="A85" t="s">
        <v>1260</v>
      </c>
      <c r="B85" s="22" t="s">
        <v>1326</v>
      </c>
      <c r="C85" s="22" t="s">
        <v>1350</v>
      </c>
      <c r="D85" s="16" t="s">
        <v>1367</v>
      </c>
    </row>
    <row r="86" spans="1:4" ht="15.75" customHeight="1" x14ac:dyDescent="0.15">
      <c r="A86" t="s">
        <v>1261</v>
      </c>
      <c r="B86" s="22" t="s">
        <v>1326</v>
      </c>
      <c r="C86" s="22" t="s">
        <v>1351</v>
      </c>
      <c r="D86" s="16" t="s">
        <v>1367</v>
      </c>
    </row>
    <row r="87" spans="1:4" ht="15.75" customHeight="1" x14ac:dyDescent="0.15">
      <c r="A87" t="s">
        <v>1262</v>
      </c>
      <c r="B87" s="22" t="s">
        <v>1326</v>
      </c>
      <c r="C87" s="22" t="s">
        <v>1352</v>
      </c>
      <c r="D87" s="16" t="s">
        <v>1367</v>
      </c>
    </row>
    <row r="88" spans="1:4" ht="15.75" customHeight="1" x14ac:dyDescent="0.15">
      <c r="A88" t="s">
        <v>1263</v>
      </c>
      <c r="B88" s="22" t="s">
        <v>1326</v>
      </c>
      <c r="C88" s="22" t="s">
        <v>1353</v>
      </c>
      <c r="D88" s="16" t="s">
        <v>1367</v>
      </c>
    </row>
    <row r="89" spans="1:4" ht="15.75" customHeight="1" x14ac:dyDescent="0.15">
      <c r="A89" t="s">
        <v>1264</v>
      </c>
      <c r="B89" s="22" t="s">
        <v>1326</v>
      </c>
      <c r="C89" s="22" t="s">
        <v>1354</v>
      </c>
      <c r="D89" s="16" t="s">
        <v>1367</v>
      </c>
    </row>
    <row r="90" spans="1:4" ht="15.75" customHeight="1" x14ac:dyDescent="0.15">
      <c r="A90" t="s">
        <v>1265</v>
      </c>
      <c r="B90" s="22" t="s">
        <v>1326</v>
      </c>
      <c r="C90" s="22" t="s">
        <v>1355</v>
      </c>
      <c r="D90" s="16" t="s">
        <v>1367</v>
      </c>
    </row>
    <row r="91" spans="1:4" ht="15.75" customHeight="1" x14ac:dyDescent="0.15">
      <c r="A91" t="s">
        <v>1266</v>
      </c>
      <c r="B91" s="22" t="s">
        <v>1326</v>
      </c>
      <c r="C91" s="22" t="s">
        <v>1356</v>
      </c>
      <c r="D91" s="16" t="s">
        <v>1367</v>
      </c>
    </row>
    <row r="92" spans="1:4" ht="15.75" customHeight="1" x14ac:dyDescent="0.15">
      <c r="A92" t="s">
        <v>1267</v>
      </c>
      <c r="B92" s="22" t="s">
        <v>1326</v>
      </c>
      <c r="C92" s="22" t="s">
        <v>1357</v>
      </c>
      <c r="D92" s="16" t="s">
        <v>1367</v>
      </c>
    </row>
    <row r="93" spans="1:4" ht="15.75" customHeight="1" x14ac:dyDescent="0.15">
      <c r="A93" t="s">
        <v>1268</v>
      </c>
      <c r="B93" s="22" t="s">
        <v>1326</v>
      </c>
      <c r="C93" s="22" t="s">
        <v>1358</v>
      </c>
      <c r="D93" s="16" t="s">
        <v>1367</v>
      </c>
    </row>
    <row r="94" spans="1:4" ht="15.75" customHeight="1" x14ac:dyDescent="0.15">
      <c r="A94" t="s">
        <v>1269</v>
      </c>
      <c r="B94" s="22" t="s">
        <v>1326</v>
      </c>
      <c r="C94" s="22" t="s">
        <v>1359</v>
      </c>
      <c r="D94" s="16" t="s">
        <v>1367</v>
      </c>
    </row>
    <row r="95" spans="1:4" ht="15.75" customHeight="1" x14ac:dyDescent="0.15">
      <c r="A95" t="s">
        <v>1270</v>
      </c>
      <c r="B95" s="22" t="s">
        <v>1326</v>
      </c>
      <c r="C95" s="22" t="s">
        <v>1360</v>
      </c>
      <c r="D95" s="16" t="s">
        <v>1367</v>
      </c>
    </row>
    <row r="96" spans="1:4" ht="15.75" customHeight="1" x14ac:dyDescent="0.15">
      <c r="A96" t="s">
        <v>1271</v>
      </c>
      <c r="B96" s="22" t="s">
        <v>1326</v>
      </c>
      <c r="C96" s="22" t="s">
        <v>1361</v>
      </c>
      <c r="D96" s="16" t="s">
        <v>1367</v>
      </c>
    </row>
    <row r="97" spans="1:4" ht="15.75" customHeight="1" x14ac:dyDescent="0.15">
      <c r="A97" t="s">
        <v>1272</v>
      </c>
      <c r="B97" s="22" t="s">
        <v>1326</v>
      </c>
      <c r="C97" s="22" t="s">
        <v>1362</v>
      </c>
      <c r="D97" s="16" t="s">
        <v>1367</v>
      </c>
    </row>
    <row r="98" spans="1:4" ht="15.75" customHeight="1" x14ac:dyDescent="0.15">
      <c r="A98" t="s">
        <v>1273</v>
      </c>
      <c r="B98" s="22" t="s">
        <v>1326</v>
      </c>
      <c r="C98" s="22" t="s">
        <v>1363</v>
      </c>
      <c r="D98" s="16" t="s">
        <v>1367</v>
      </c>
    </row>
    <row r="99" spans="1:4" ht="15.75" customHeight="1" x14ac:dyDescent="0.15">
      <c r="A99" t="s">
        <v>1274</v>
      </c>
      <c r="B99" s="22" t="s">
        <v>1326</v>
      </c>
      <c r="C99" s="22" t="s">
        <v>1364</v>
      </c>
      <c r="D99" s="16" t="s">
        <v>1367</v>
      </c>
    </row>
    <row r="100" spans="1:4" ht="15.75" customHeight="1" x14ac:dyDescent="0.15">
      <c r="A100" t="s">
        <v>1275</v>
      </c>
      <c r="B100" s="22" t="s">
        <v>1326</v>
      </c>
      <c r="C100" s="22" t="s">
        <v>1365</v>
      </c>
      <c r="D100" s="16" t="s">
        <v>1367</v>
      </c>
    </row>
    <row r="101" spans="1:4" ht="15.75" customHeight="1" x14ac:dyDescent="0.15">
      <c r="A101" t="s">
        <v>1276</v>
      </c>
      <c r="B101" s="22" t="s">
        <v>1326</v>
      </c>
      <c r="C101" s="22" t="s">
        <v>1366</v>
      </c>
      <c r="D101" s="16" t="s">
        <v>1367</v>
      </c>
    </row>
    <row r="102" spans="1:4" ht="15.75" customHeight="1" x14ac:dyDescent="0.15">
      <c r="A102" t="s">
        <v>1277</v>
      </c>
      <c r="C102" s="22" t="s">
        <v>1370</v>
      </c>
      <c r="D102" s="16" t="s">
        <v>1368</v>
      </c>
    </row>
    <row r="103" spans="1:4" ht="15.75" customHeight="1" x14ac:dyDescent="0.15">
      <c r="A103" t="s">
        <v>1278</v>
      </c>
      <c r="C103" s="22" t="s">
        <v>1371</v>
      </c>
      <c r="D103" s="16" t="s">
        <v>1367</v>
      </c>
    </row>
    <row r="104" spans="1:4" ht="15.75" customHeight="1" x14ac:dyDescent="0.15">
      <c r="A104" t="s">
        <v>1279</v>
      </c>
      <c r="C104" s="22" t="s">
        <v>1371</v>
      </c>
      <c r="D104" s="16" t="s">
        <v>1367</v>
      </c>
    </row>
    <row r="105" spans="1:4" ht="15.75" customHeight="1" x14ac:dyDescent="0.15">
      <c r="A105" t="s">
        <v>1280</v>
      </c>
      <c r="C105" s="22" t="s">
        <v>1371</v>
      </c>
      <c r="D105" s="16" t="s">
        <v>1367</v>
      </c>
    </row>
    <row r="106" spans="1:4" ht="15.75" customHeight="1" x14ac:dyDescent="0.15">
      <c r="A106" t="s">
        <v>1281</v>
      </c>
      <c r="C106" s="22" t="s">
        <v>1371</v>
      </c>
      <c r="D106" s="16" t="s">
        <v>1367</v>
      </c>
    </row>
    <row r="107" spans="1:4" ht="15.75" customHeight="1" x14ac:dyDescent="0.15">
      <c r="A107" t="s">
        <v>1282</v>
      </c>
      <c r="C107" s="22" t="s">
        <v>1371</v>
      </c>
      <c r="D107" s="16" t="s">
        <v>1367</v>
      </c>
    </row>
    <row r="108" spans="1:4" ht="15.75" customHeight="1" x14ac:dyDescent="0.15">
      <c r="A108" t="s">
        <v>1283</v>
      </c>
      <c r="C108" s="22" t="s">
        <v>1371</v>
      </c>
      <c r="D108" s="16" t="s">
        <v>1367</v>
      </c>
    </row>
    <row r="109" spans="1:4" ht="15.75" customHeight="1" x14ac:dyDescent="0.15">
      <c r="A109" t="s">
        <v>1284</v>
      </c>
      <c r="C109" s="22" t="s">
        <v>1371</v>
      </c>
      <c r="D109" s="16" t="s">
        <v>1367</v>
      </c>
    </row>
    <row r="110" spans="1:4" ht="15.75" customHeight="1" x14ac:dyDescent="0.15">
      <c r="A110" t="s">
        <v>1285</v>
      </c>
      <c r="C110" s="22" t="s">
        <v>1371</v>
      </c>
      <c r="D110" s="16" t="s">
        <v>1367</v>
      </c>
    </row>
    <row r="111" spans="1:4" ht="15.75" customHeight="1" x14ac:dyDescent="0.15">
      <c r="A111" t="s">
        <v>1286</v>
      </c>
      <c r="C111" s="22" t="s">
        <v>1371</v>
      </c>
      <c r="D111" s="16" t="s">
        <v>1367</v>
      </c>
    </row>
    <row r="112" spans="1:4" ht="15.75" customHeight="1" x14ac:dyDescent="0.15">
      <c r="A112" t="s">
        <v>1287</v>
      </c>
      <c r="C112" s="22" t="s">
        <v>1371</v>
      </c>
      <c r="D112" s="16" t="s">
        <v>1367</v>
      </c>
    </row>
    <row r="113" spans="1:4" ht="15.75" customHeight="1" x14ac:dyDescent="0.15">
      <c r="A113" t="s">
        <v>1288</v>
      </c>
      <c r="C113" s="22" t="s">
        <v>1371</v>
      </c>
      <c r="D113" s="16" t="s">
        <v>1367</v>
      </c>
    </row>
    <row r="114" spans="1:4" ht="15.75" customHeight="1" x14ac:dyDescent="0.15">
      <c r="A114" t="s">
        <v>1289</v>
      </c>
      <c r="C114" s="22" t="s">
        <v>1371</v>
      </c>
      <c r="D114" s="16" t="s">
        <v>1367</v>
      </c>
    </row>
    <row r="115" spans="1:4" ht="15.75" customHeight="1" x14ac:dyDescent="0.15">
      <c r="A115" t="s">
        <v>1290</v>
      </c>
      <c r="C115" s="22" t="s">
        <v>1371</v>
      </c>
      <c r="D115" s="16" t="s">
        <v>1367</v>
      </c>
    </row>
    <row r="116" spans="1:4" ht="15.75" customHeight="1" x14ac:dyDescent="0.15">
      <c r="A116" t="s">
        <v>1291</v>
      </c>
      <c r="C116" s="22" t="s">
        <v>1371</v>
      </c>
      <c r="D116" s="16" t="s">
        <v>1367</v>
      </c>
    </row>
    <row r="117" spans="1:4" ht="15.75" customHeight="1" x14ac:dyDescent="0.15">
      <c r="A117" t="s">
        <v>1292</v>
      </c>
      <c r="C117" s="22" t="s">
        <v>1371</v>
      </c>
      <c r="D117" s="16" t="s">
        <v>1367</v>
      </c>
    </row>
    <row r="118" spans="1:4" ht="15.75" customHeight="1" x14ac:dyDescent="0.15">
      <c r="A118" t="s">
        <v>1293</v>
      </c>
      <c r="C118" s="22" t="s">
        <v>1371</v>
      </c>
      <c r="D118" s="16" t="s">
        <v>1367</v>
      </c>
    </row>
    <row r="119" spans="1:4" ht="15.75" customHeight="1" x14ac:dyDescent="0.15">
      <c r="A119" t="s">
        <v>1294</v>
      </c>
      <c r="C119" s="22" t="s">
        <v>1371</v>
      </c>
      <c r="D119" s="16" t="s">
        <v>1367</v>
      </c>
    </row>
    <row r="120" spans="1:4" ht="15.75" customHeight="1" x14ac:dyDescent="0.15">
      <c r="A120" t="s">
        <v>1295</v>
      </c>
      <c r="C120" s="22" t="s">
        <v>1371</v>
      </c>
      <c r="D120" s="16" t="s">
        <v>1367</v>
      </c>
    </row>
    <row r="121" spans="1:4" ht="15.75" customHeight="1" x14ac:dyDescent="0.15">
      <c r="A121" t="s">
        <v>1296</v>
      </c>
      <c r="C121" s="22" t="s">
        <v>1371</v>
      </c>
      <c r="D121" s="16" t="s">
        <v>1367</v>
      </c>
    </row>
    <row r="122" spans="1:4" ht="15.75" customHeight="1" x14ac:dyDescent="0.15">
      <c r="A122" t="s">
        <v>1297</v>
      </c>
      <c r="C122" s="22" t="s">
        <v>1371</v>
      </c>
      <c r="D122" s="16" t="s">
        <v>1367</v>
      </c>
    </row>
    <row r="123" spans="1:4" ht="15.75" customHeight="1" x14ac:dyDescent="0.15">
      <c r="A123" t="s">
        <v>1298</v>
      </c>
      <c r="C123" s="22" t="s">
        <v>1370</v>
      </c>
      <c r="D123" s="22" t="s">
        <v>1369</v>
      </c>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L64"/>
  <sheetViews>
    <sheetView workbookViewId="0">
      <pane ySplit="1" topLeftCell="A2" activePane="bottomLeft" state="frozen"/>
      <selection pane="bottomLeft" activeCell="L63" sqref="L63:L64"/>
    </sheetView>
  </sheetViews>
  <sheetFormatPr baseColWidth="10" defaultColWidth="12.6640625" defaultRowHeight="15.75" customHeight="1" x14ac:dyDescent="0.15"/>
  <cols>
    <col min="1" max="1" width="5.83203125" customWidth="1"/>
    <col min="2" max="2" width="8" customWidth="1"/>
    <col min="3" max="3" width="35.83203125" customWidth="1"/>
    <col min="4" max="4" width="25.1640625" bestFit="1" customWidth="1"/>
    <col min="5" max="5" width="31.83203125" customWidth="1"/>
    <col min="6" max="6" width="20.6640625" customWidth="1"/>
    <col min="7" max="7" width="17.83203125" customWidth="1"/>
    <col min="9" max="9" width="32" customWidth="1"/>
    <col min="12" max="12" width="96.83203125" bestFit="1" customWidth="1"/>
  </cols>
  <sheetData>
    <row r="1" spans="1:12" ht="15.75" customHeight="1" x14ac:dyDescent="0.15">
      <c r="A1" s="1" t="s">
        <v>0</v>
      </c>
      <c r="B1" s="1" t="s">
        <v>656</v>
      </c>
      <c r="C1" s="1" t="s">
        <v>1</v>
      </c>
      <c r="D1" s="1" t="s">
        <v>2</v>
      </c>
      <c r="E1" s="1" t="s">
        <v>3</v>
      </c>
      <c r="F1" s="1" t="s">
        <v>4</v>
      </c>
      <c r="G1" s="1" t="s">
        <v>5</v>
      </c>
      <c r="H1" s="1" t="s">
        <v>6</v>
      </c>
      <c r="I1" s="1" t="s">
        <v>7</v>
      </c>
      <c r="J1" s="1" t="s">
        <v>8</v>
      </c>
      <c r="K1" s="19" t="s">
        <v>1146</v>
      </c>
      <c r="L1" s="1" t="s">
        <v>772</v>
      </c>
    </row>
    <row r="2" spans="1:12" ht="15.75" customHeight="1" x14ac:dyDescent="0.15">
      <c r="A2" s="10" t="s">
        <v>30</v>
      </c>
      <c r="B2" s="10" t="s">
        <v>657</v>
      </c>
      <c r="C2" s="13" t="s">
        <v>31</v>
      </c>
      <c r="D2" s="1" t="s">
        <v>90</v>
      </c>
      <c r="E2" s="15" t="s">
        <v>1423</v>
      </c>
      <c r="F2" s="1" t="s">
        <v>14</v>
      </c>
      <c r="G2" s="1" t="s">
        <v>14</v>
      </c>
      <c r="H2" s="10"/>
      <c r="I2" s="10"/>
      <c r="J2" s="10"/>
      <c r="L2" s="22" t="s">
        <v>1305</v>
      </c>
    </row>
    <row r="3" spans="1:12" ht="15.75" customHeight="1" x14ac:dyDescent="0.15">
      <c r="A3" s="10" t="s">
        <v>49</v>
      </c>
      <c r="B3" s="10" t="s">
        <v>657</v>
      </c>
      <c r="C3" s="10" t="s">
        <v>658</v>
      </c>
      <c r="D3" s="10" t="s">
        <v>659</v>
      </c>
      <c r="E3" s="10" t="str">
        <f t="shared" ref="E3:E32" si="0">C3</f>
        <v>I enjoyed watching TV</v>
      </c>
      <c r="F3" s="10" t="s">
        <v>660</v>
      </c>
      <c r="G3" s="10" t="s">
        <v>14</v>
      </c>
      <c r="H3" s="10"/>
      <c r="I3" s="10" t="s">
        <v>661</v>
      </c>
      <c r="J3" s="10">
        <v>1</v>
      </c>
      <c r="L3" s="22" t="s">
        <v>1424</v>
      </c>
    </row>
    <row r="4" spans="1:12" ht="15.75" customHeight="1" x14ac:dyDescent="0.15">
      <c r="A4" s="10" t="s">
        <v>49</v>
      </c>
      <c r="B4" s="10" t="s">
        <v>657</v>
      </c>
      <c r="C4" s="14" t="s">
        <v>662</v>
      </c>
      <c r="D4" s="10" t="s">
        <v>663</v>
      </c>
      <c r="E4" s="10" t="str">
        <f t="shared" si="0"/>
        <v>I learned something new on TV</v>
      </c>
      <c r="F4" s="10" t="s">
        <v>660</v>
      </c>
      <c r="G4" s="10" t="s">
        <v>14</v>
      </c>
      <c r="H4" s="10"/>
      <c r="I4" s="10" t="s">
        <v>661</v>
      </c>
      <c r="J4" s="10">
        <v>1</v>
      </c>
      <c r="L4" s="22" t="s">
        <v>1424</v>
      </c>
    </row>
    <row r="5" spans="1:12" ht="15.75" customHeight="1" x14ac:dyDescent="0.15">
      <c r="A5" s="10" t="s">
        <v>49</v>
      </c>
      <c r="B5" s="10" t="s">
        <v>657</v>
      </c>
      <c r="C5" s="10" t="s">
        <v>664</v>
      </c>
      <c r="D5" s="10" t="s">
        <v>665</v>
      </c>
      <c r="E5" s="10" t="str">
        <f t="shared" si="0"/>
        <v>I was surprised by what I saw on TV</v>
      </c>
      <c r="F5" s="10" t="s">
        <v>660</v>
      </c>
      <c r="G5" s="10" t="s">
        <v>14</v>
      </c>
      <c r="H5" s="10"/>
      <c r="I5" s="10" t="s">
        <v>661</v>
      </c>
      <c r="J5" s="10">
        <v>1</v>
      </c>
      <c r="L5" s="22" t="s">
        <v>1424</v>
      </c>
    </row>
    <row r="6" spans="1:12" ht="15.75" customHeight="1" x14ac:dyDescent="0.15">
      <c r="A6" s="10" t="s">
        <v>666</v>
      </c>
      <c r="B6" s="10" t="s">
        <v>667</v>
      </c>
      <c r="C6" s="10" t="s">
        <v>668</v>
      </c>
      <c r="D6" s="10" t="s">
        <v>669</v>
      </c>
      <c r="E6" s="10" t="str">
        <f t="shared" si="0"/>
        <v>Major media outlets are responsible for encouraging the violent protests that occurred last week.</v>
      </c>
      <c r="F6" s="10" t="s">
        <v>670</v>
      </c>
      <c r="G6" s="10" t="s">
        <v>671</v>
      </c>
      <c r="H6" s="10" t="s">
        <v>15</v>
      </c>
      <c r="I6" s="10"/>
      <c r="J6" s="10"/>
      <c r="K6" s="20" t="s">
        <v>1148</v>
      </c>
      <c r="L6" s="15" t="s">
        <v>1309</v>
      </c>
    </row>
    <row r="7" spans="1:12" ht="15.75" customHeight="1" x14ac:dyDescent="0.15">
      <c r="A7" s="10" t="s">
        <v>666</v>
      </c>
      <c r="B7" s="10" t="s">
        <v>667</v>
      </c>
      <c r="C7" s="10" t="s">
        <v>672</v>
      </c>
      <c r="D7" s="10" t="s">
        <v>673</v>
      </c>
      <c r="E7" s="10" t="str">
        <f t="shared" si="0"/>
        <v>It is an overreaction to go out and protest in response to the police shooting of Jacob Blake in Kenosha, Wisconsin.</v>
      </c>
      <c r="F7" s="10" t="s">
        <v>670</v>
      </c>
      <c r="G7" s="10" t="s">
        <v>671</v>
      </c>
      <c r="H7" s="10" t="s">
        <v>15</v>
      </c>
      <c r="I7" s="10"/>
      <c r="J7" s="10"/>
      <c r="K7" s="20" t="s">
        <v>1149</v>
      </c>
      <c r="L7" s="15" t="s">
        <v>1309</v>
      </c>
    </row>
    <row r="8" spans="1:12" ht="15.75" customHeight="1" x14ac:dyDescent="0.15">
      <c r="A8" s="10" t="s">
        <v>666</v>
      </c>
      <c r="B8" s="10" t="s">
        <v>667</v>
      </c>
      <c r="C8" s="10" t="s">
        <v>674</v>
      </c>
      <c r="D8" s="10" t="s">
        <v>675</v>
      </c>
      <c r="E8" s="10" t="str">
        <f t="shared" si="0"/>
        <v>Former National Security Advisor Michael Flynn should have his guilty plea of lying under oath thrown out and he should be released immediately.</v>
      </c>
      <c r="F8" s="10" t="s">
        <v>670</v>
      </c>
      <c r="G8" s="10" t="s">
        <v>671</v>
      </c>
      <c r="H8" s="10" t="s">
        <v>15</v>
      </c>
      <c r="I8" s="10" t="s">
        <v>676</v>
      </c>
      <c r="J8" s="10"/>
      <c r="L8" s="15" t="s">
        <v>1309</v>
      </c>
    </row>
    <row r="9" spans="1:12" ht="15.75" customHeight="1" x14ac:dyDescent="0.15">
      <c r="A9" s="10" t="s">
        <v>666</v>
      </c>
      <c r="B9" s="10" t="s">
        <v>667</v>
      </c>
      <c r="C9" s="10" t="s">
        <v>677</v>
      </c>
      <c r="D9" s="10" t="s">
        <v>678</v>
      </c>
      <c r="E9" s="10" t="str">
        <f t="shared" si="0"/>
        <v>It is not appropriate for a sitting Secretary of State to speak at a political convention.</v>
      </c>
      <c r="F9" s="10" t="s">
        <v>670</v>
      </c>
      <c r="G9" s="10" t="s">
        <v>671</v>
      </c>
      <c r="H9" s="10" t="s">
        <v>20</v>
      </c>
      <c r="I9" s="10" t="s">
        <v>679</v>
      </c>
      <c r="J9" s="10"/>
      <c r="L9" s="15" t="s">
        <v>1309</v>
      </c>
    </row>
    <row r="10" spans="1:12" ht="15.75" customHeight="1" x14ac:dyDescent="0.15">
      <c r="A10" s="10" t="s">
        <v>666</v>
      </c>
      <c r="B10" s="10" t="s">
        <v>667</v>
      </c>
      <c r="C10" s="10" t="s">
        <v>680</v>
      </c>
      <c r="D10" s="10" t="s">
        <v>681</v>
      </c>
      <c r="E10" s="10" t="str">
        <f t="shared" si="0"/>
        <v>Donald Trump's visit to Kenosha, Wisconsin will help calm the situation in the city.</v>
      </c>
      <c r="F10" s="10" t="s">
        <v>670</v>
      </c>
      <c r="G10" s="10" t="s">
        <v>671</v>
      </c>
      <c r="H10" s="10" t="s">
        <v>15</v>
      </c>
      <c r="I10" s="10" t="s">
        <v>676</v>
      </c>
      <c r="J10" s="10"/>
      <c r="L10" s="15" t="s">
        <v>1309</v>
      </c>
    </row>
    <row r="11" spans="1:12" ht="15.75" customHeight="1" x14ac:dyDescent="0.15">
      <c r="A11" s="10" t="s">
        <v>666</v>
      </c>
      <c r="B11" s="10" t="s">
        <v>682</v>
      </c>
      <c r="C11" s="10" t="s">
        <v>316</v>
      </c>
      <c r="D11" s="10" t="s">
        <v>317</v>
      </c>
      <c r="E11" s="10" t="str">
        <f t="shared" si="0"/>
        <v>What Joe Biden has been saying about the ongoing protests has only made the protests more violent.</v>
      </c>
      <c r="F11" s="10" t="s">
        <v>670</v>
      </c>
      <c r="G11" s="10" t="s">
        <v>683</v>
      </c>
      <c r="H11" s="10" t="s">
        <v>15</v>
      </c>
      <c r="I11" s="10"/>
      <c r="J11" s="10"/>
      <c r="L11" s="15" t="s">
        <v>1309</v>
      </c>
    </row>
    <row r="12" spans="1:12" ht="15.75" customHeight="1" x14ac:dyDescent="0.15">
      <c r="A12" s="10" t="s">
        <v>666</v>
      </c>
      <c r="B12" s="10" t="s">
        <v>682</v>
      </c>
      <c r="C12" s="10" t="s">
        <v>684</v>
      </c>
      <c r="D12" s="10" t="s">
        <v>685</v>
      </c>
      <c r="E12" s="10" t="str">
        <f t="shared" si="0"/>
        <v>There is a risk that the government will approve a vaccine for COVID-19 before it is proven to be safe and effective.</v>
      </c>
      <c r="F12" s="10" t="s">
        <v>670</v>
      </c>
      <c r="G12" s="10" t="s">
        <v>683</v>
      </c>
      <c r="H12" s="10" t="s">
        <v>20</v>
      </c>
      <c r="I12" s="10" t="s">
        <v>679</v>
      </c>
      <c r="J12" s="10"/>
      <c r="L12" s="15" t="s">
        <v>1309</v>
      </c>
    </row>
    <row r="13" spans="1:12" ht="15.75" customHeight="1" x14ac:dyDescent="0.15">
      <c r="A13" s="10" t="s">
        <v>666</v>
      </c>
      <c r="B13" s="10" t="s">
        <v>682</v>
      </c>
      <c r="C13" s="10" t="s">
        <v>320</v>
      </c>
      <c r="D13" s="10" t="s">
        <v>321</v>
      </c>
      <c r="E13" s="10" t="str">
        <f t="shared" si="0"/>
        <v>Allowing so many people to vote by mail will inevitably lead to widespread fraud in the elections.</v>
      </c>
      <c r="F13" s="10" t="s">
        <v>670</v>
      </c>
      <c r="G13" s="10" t="s">
        <v>683</v>
      </c>
      <c r="H13" s="10" t="s">
        <v>15</v>
      </c>
      <c r="I13" s="10"/>
      <c r="J13" s="10"/>
      <c r="L13" s="15" t="s">
        <v>1309</v>
      </c>
    </row>
    <row r="14" spans="1:12" ht="15.75" customHeight="1" x14ac:dyDescent="0.15">
      <c r="A14" s="10" t="s">
        <v>666</v>
      </c>
      <c r="B14" s="10" t="s">
        <v>682</v>
      </c>
      <c r="C14" s="10" t="s">
        <v>686</v>
      </c>
      <c r="D14" s="10" t="s">
        <v>687</v>
      </c>
      <c r="E14" s="10" t="str">
        <f t="shared" si="0"/>
        <v>I think Donald Trump probably did have a series of small strokes last year.</v>
      </c>
      <c r="F14" s="10" t="s">
        <v>670</v>
      </c>
      <c r="G14" s="10" t="s">
        <v>683</v>
      </c>
      <c r="H14" s="11" t="s">
        <v>20</v>
      </c>
      <c r="I14" s="10"/>
      <c r="J14" s="10"/>
      <c r="L14" s="15" t="s">
        <v>1309</v>
      </c>
    </row>
    <row r="15" spans="1:12" ht="15.75" customHeight="1" x14ac:dyDescent="0.15">
      <c r="A15" s="10" t="s">
        <v>666</v>
      </c>
      <c r="B15" s="10" t="s">
        <v>682</v>
      </c>
      <c r="C15" s="10" t="s">
        <v>323</v>
      </c>
      <c r="D15" s="10" t="s">
        <v>324</v>
      </c>
      <c r="E15" s="10" t="str">
        <f t="shared" si="0"/>
        <v>If I were walking down the street in New York City or Portland right now, it would probably feel like being in a war zone.</v>
      </c>
      <c r="F15" s="10" t="s">
        <v>670</v>
      </c>
      <c r="G15" s="10" t="s">
        <v>683</v>
      </c>
      <c r="H15" s="10" t="s">
        <v>15</v>
      </c>
      <c r="I15" s="10"/>
      <c r="J15" s="10"/>
      <c r="K15" s="20"/>
      <c r="L15" s="15" t="s">
        <v>1309</v>
      </c>
    </row>
    <row r="16" spans="1:12" ht="15.75" customHeight="1" x14ac:dyDescent="0.15">
      <c r="A16" s="10" t="s">
        <v>666</v>
      </c>
      <c r="B16" s="10" t="s">
        <v>682</v>
      </c>
      <c r="C16" s="10" t="s">
        <v>325</v>
      </c>
      <c r="D16" s="10" t="s">
        <v>326</v>
      </c>
      <c r="E16" s="10" t="str">
        <f t="shared" si="0"/>
        <v>If Joe Biden is elected President, the protests in America’s cities will only get more violent.</v>
      </c>
      <c r="F16" s="10" t="s">
        <v>670</v>
      </c>
      <c r="G16" s="10" t="s">
        <v>683</v>
      </c>
      <c r="H16" s="11" t="s">
        <v>15</v>
      </c>
      <c r="I16" s="10"/>
      <c r="J16" s="10"/>
      <c r="L16" s="15" t="s">
        <v>1309</v>
      </c>
    </row>
    <row r="17" spans="1:12" ht="15.75" customHeight="1" x14ac:dyDescent="0.15">
      <c r="A17" s="10" t="s">
        <v>666</v>
      </c>
      <c r="B17" s="10" t="s">
        <v>688</v>
      </c>
      <c r="C17" s="10" t="s">
        <v>252</v>
      </c>
      <c r="D17" s="10" t="s">
        <v>689</v>
      </c>
      <c r="E17" s="10" t="str">
        <f t="shared" si="0"/>
        <v>Because of the risk of spreading coronavirus, Donald Trump and Joe Biden should not be holding campaign rallies.</v>
      </c>
      <c r="F17" s="10" t="s">
        <v>670</v>
      </c>
      <c r="G17" s="10" t="s">
        <v>690</v>
      </c>
      <c r="H17" s="11" t="s">
        <v>20</v>
      </c>
      <c r="I17" s="10"/>
      <c r="J17" s="10"/>
      <c r="L17" s="15" t="s">
        <v>1309</v>
      </c>
    </row>
    <row r="18" spans="1:12" ht="15.75" customHeight="1" x14ac:dyDescent="0.15">
      <c r="A18" s="10" t="s">
        <v>666</v>
      </c>
      <c r="B18" s="10" t="s">
        <v>688</v>
      </c>
      <c r="C18" s="10" t="s">
        <v>691</v>
      </c>
      <c r="D18" s="10" t="s">
        <v>692</v>
      </c>
      <c r="E18" s="10" t="str">
        <f t="shared" si="0"/>
        <v>Given what he knew about the coronavirus back in February, President Trump probably should have more strongly warned Americans about the coronavirus.</v>
      </c>
      <c r="F18" s="10" t="s">
        <v>670</v>
      </c>
      <c r="G18" s="10" t="s">
        <v>690</v>
      </c>
      <c r="H18" s="11" t="s">
        <v>20</v>
      </c>
      <c r="I18" s="10"/>
      <c r="J18" s="10"/>
      <c r="L18" s="15" t="s">
        <v>1309</v>
      </c>
    </row>
    <row r="19" spans="1:12" ht="15.75" customHeight="1" x14ac:dyDescent="0.15">
      <c r="A19" s="10" t="s">
        <v>666</v>
      </c>
      <c r="B19" s="10" t="s">
        <v>688</v>
      </c>
      <c r="C19" s="10" t="s">
        <v>693</v>
      </c>
      <c r="D19" s="10" t="s">
        <v>694</v>
      </c>
      <c r="E19" s="10" t="str">
        <f t="shared" si="0"/>
        <v>If elected President, Joe Biden would be more likely to start another war in the next four years than Donald Trump.</v>
      </c>
      <c r="F19" s="10" t="s">
        <v>670</v>
      </c>
      <c r="G19" s="10" t="s">
        <v>690</v>
      </c>
      <c r="H19" s="10" t="s">
        <v>15</v>
      </c>
      <c r="I19" s="10"/>
      <c r="J19" s="10"/>
      <c r="L19" s="15" t="s">
        <v>1309</v>
      </c>
    </row>
    <row r="20" spans="1:12" ht="15.75" customHeight="1" x14ac:dyDescent="0.15">
      <c r="A20" s="10" t="s">
        <v>666</v>
      </c>
      <c r="B20" s="10" t="s">
        <v>688</v>
      </c>
      <c r="C20" s="10" t="s">
        <v>695</v>
      </c>
      <c r="D20" s="10" t="s">
        <v>324</v>
      </c>
      <c r="E20" s="10" t="str">
        <f t="shared" si="0"/>
        <v>If I were walking down the street in cities like Portland right now, it would probably feel like being in a war zone.</v>
      </c>
      <c r="F20" s="10" t="s">
        <v>670</v>
      </c>
      <c r="G20" s="10" t="s">
        <v>690</v>
      </c>
      <c r="H20" s="10" t="s">
        <v>15</v>
      </c>
      <c r="I20" s="10"/>
      <c r="J20" s="10"/>
      <c r="L20" s="15" t="s">
        <v>1309</v>
      </c>
    </row>
    <row r="21" spans="1:12" ht="15.75" customHeight="1" x14ac:dyDescent="0.15">
      <c r="A21" s="10" t="s">
        <v>666</v>
      </c>
      <c r="B21" s="10" t="s">
        <v>688</v>
      </c>
      <c r="C21" s="10" t="s">
        <v>254</v>
      </c>
      <c r="D21" s="10" t="s">
        <v>696</v>
      </c>
      <c r="E21" s="10" t="str">
        <f t="shared" si="0"/>
        <v>The coronavirus is still infecting huge numbers of Americans every day.</v>
      </c>
      <c r="F21" s="10" t="s">
        <v>670</v>
      </c>
      <c r="G21" s="10" t="s">
        <v>690</v>
      </c>
      <c r="H21" s="11" t="s">
        <v>20</v>
      </c>
      <c r="I21" s="10"/>
      <c r="J21" s="10"/>
      <c r="K21" s="20" t="s">
        <v>1147</v>
      </c>
      <c r="L21" s="15" t="s">
        <v>1309</v>
      </c>
    </row>
    <row r="22" spans="1:12" ht="15.75" customHeight="1" x14ac:dyDescent="0.15">
      <c r="A22" s="10" t="s">
        <v>666</v>
      </c>
      <c r="B22" s="10" t="s">
        <v>688</v>
      </c>
      <c r="C22" s="10" t="s">
        <v>327</v>
      </c>
      <c r="D22" s="10" t="s">
        <v>328</v>
      </c>
      <c r="E22" s="10" t="str">
        <f t="shared" si="0"/>
        <v>The Democratic Party’s views on race are so extreme, even most black people think they are harmful.</v>
      </c>
      <c r="F22" s="10" t="s">
        <v>670</v>
      </c>
      <c r="G22" s="10" t="s">
        <v>690</v>
      </c>
      <c r="H22" s="10" t="s">
        <v>15</v>
      </c>
      <c r="I22" s="10"/>
      <c r="J22" s="10"/>
      <c r="L22" s="15" t="s">
        <v>1309</v>
      </c>
    </row>
    <row r="23" spans="1:12" ht="15.75" customHeight="1" x14ac:dyDescent="0.15">
      <c r="A23" s="10" t="s">
        <v>666</v>
      </c>
      <c r="B23" s="10" t="s">
        <v>688</v>
      </c>
      <c r="C23" s="10" t="s">
        <v>697</v>
      </c>
      <c r="D23" s="10" t="s">
        <v>698</v>
      </c>
      <c r="E23" s="10" t="str">
        <f t="shared" si="0"/>
        <v>California’s bad forestry management, and not climate change, is the primary cause of their wildfires.</v>
      </c>
      <c r="F23" s="10" t="s">
        <v>670</v>
      </c>
      <c r="G23" s="10" t="s">
        <v>690</v>
      </c>
      <c r="H23" s="10" t="s">
        <v>15</v>
      </c>
      <c r="I23" s="10"/>
      <c r="J23" s="10"/>
      <c r="L23" s="15" t="s">
        <v>1309</v>
      </c>
    </row>
    <row r="24" spans="1:12" ht="15.75" customHeight="1" x14ac:dyDescent="0.15">
      <c r="A24" s="10" t="s">
        <v>666</v>
      </c>
      <c r="B24" s="10" t="s">
        <v>688</v>
      </c>
      <c r="C24" s="10" t="s">
        <v>699</v>
      </c>
      <c r="D24" s="10" t="s">
        <v>700</v>
      </c>
      <c r="E24" s="10" t="str">
        <f t="shared" si="0"/>
        <v>Joe Biden’s positions are now about as far left as the most radical and socialist politicians out there.</v>
      </c>
      <c r="F24" s="10" t="s">
        <v>670</v>
      </c>
      <c r="G24" s="10" t="s">
        <v>690</v>
      </c>
      <c r="H24" s="10" t="s">
        <v>15</v>
      </c>
      <c r="I24" s="10"/>
      <c r="J24" s="10"/>
      <c r="L24" s="15" t="s">
        <v>1309</v>
      </c>
    </row>
    <row r="25" spans="1:12" ht="15.75" customHeight="1" x14ac:dyDescent="0.15">
      <c r="A25" s="10" t="s">
        <v>666</v>
      </c>
      <c r="B25" s="10" t="s">
        <v>701</v>
      </c>
      <c r="C25" s="10" t="s">
        <v>702</v>
      </c>
      <c r="D25" s="10" t="s">
        <v>703</v>
      </c>
      <c r="E25" s="10" t="str">
        <f t="shared" si="0"/>
        <v>President Trump should wait to nominate a Supreme Court Justice to replace Ruth Bader Ginsburg; instead, the winner of this November’s presidential election should pick the nominee -- whether that is Trump or Biden.</v>
      </c>
      <c r="F25" s="10" t="s">
        <v>670</v>
      </c>
      <c r="G25" s="10" t="s">
        <v>704</v>
      </c>
      <c r="H25" s="11" t="s">
        <v>20</v>
      </c>
      <c r="I25" s="13"/>
      <c r="J25" s="10"/>
      <c r="L25" s="15" t="s">
        <v>1309</v>
      </c>
    </row>
    <row r="26" spans="1:12" ht="15.75" customHeight="1" x14ac:dyDescent="0.15">
      <c r="A26" s="10" t="s">
        <v>666</v>
      </c>
      <c r="B26" s="10" t="s">
        <v>701</v>
      </c>
      <c r="C26" s="10" t="s">
        <v>705</v>
      </c>
      <c r="D26" s="10" t="s">
        <v>706</v>
      </c>
      <c r="E26" s="10" t="str">
        <f t="shared" si="0"/>
        <v>Donald Trump should nominate a Supreme Court Justice who will overturn Roe v. Wade, the court case that gives women a constiutional right to receive an abortion.</v>
      </c>
      <c r="F26" s="10" t="s">
        <v>670</v>
      </c>
      <c r="G26" s="10" t="s">
        <v>704</v>
      </c>
      <c r="H26" s="11" t="s">
        <v>15</v>
      </c>
      <c r="I26" s="13"/>
      <c r="J26" s="10"/>
      <c r="L26" s="15" t="s">
        <v>1309</v>
      </c>
    </row>
    <row r="27" spans="1:12" ht="15.75" customHeight="1" x14ac:dyDescent="0.15">
      <c r="A27" s="10" t="s">
        <v>666</v>
      </c>
      <c r="B27" s="10" t="s">
        <v>701</v>
      </c>
      <c r="C27" s="10" t="s">
        <v>707</v>
      </c>
      <c r="D27" s="10" t="s">
        <v>708</v>
      </c>
      <c r="E27" s="10" t="str">
        <f t="shared" si="0"/>
        <v>Coronavirus cases are falling quickly in America and the virus will be basically gone fairly soon.</v>
      </c>
      <c r="F27" s="10" t="s">
        <v>670</v>
      </c>
      <c r="G27" s="10" t="s">
        <v>704</v>
      </c>
      <c r="H27" s="10" t="s">
        <v>15</v>
      </c>
      <c r="I27" s="10"/>
      <c r="J27" s="10"/>
      <c r="L27" s="15" t="s">
        <v>1309</v>
      </c>
    </row>
    <row r="28" spans="1:12" ht="15.75" customHeight="1" x14ac:dyDescent="0.15">
      <c r="A28" s="10" t="s">
        <v>666</v>
      </c>
      <c r="B28" s="10" t="s">
        <v>701</v>
      </c>
      <c r="C28" s="10" t="s">
        <v>709</v>
      </c>
      <c r="D28" s="10" t="s">
        <v>330</v>
      </c>
      <c r="E28" s="10" t="str">
        <f t="shared" si="0"/>
        <v>If Joe Biden is elected President, we’ll see many police get shot by Black Lives Matter activists.</v>
      </c>
      <c r="F28" s="10" t="s">
        <v>670</v>
      </c>
      <c r="G28" s="10" t="s">
        <v>704</v>
      </c>
      <c r="H28" s="10" t="s">
        <v>15</v>
      </c>
      <c r="I28" s="10"/>
      <c r="J28" s="10"/>
      <c r="K28" s="20" t="s">
        <v>1148</v>
      </c>
      <c r="L28" s="15" t="s">
        <v>1309</v>
      </c>
    </row>
    <row r="29" spans="1:12" ht="15.75" customHeight="1" x14ac:dyDescent="0.15">
      <c r="A29" s="10" t="s">
        <v>666</v>
      </c>
      <c r="B29" s="10" t="s">
        <v>701</v>
      </c>
      <c r="C29" s="10" t="s">
        <v>331</v>
      </c>
      <c r="D29" s="10" t="s">
        <v>332</v>
      </c>
      <c r="E29" s="10" t="str">
        <f t="shared" si="0"/>
        <v>I think many Biden supporters are probably happy to see it when police officers get shot.</v>
      </c>
      <c r="F29" s="10" t="s">
        <v>670</v>
      </c>
      <c r="G29" s="10" t="s">
        <v>704</v>
      </c>
      <c r="H29" s="10" t="s">
        <v>15</v>
      </c>
      <c r="I29" s="10"/>
      <c r="J29" s="10"/>
      <c r="L29" s="15" t="s">
        <v>1309</v>
      </c>
    </row>
    <row r="30" spans="1:12" ht="15.75" customHeight="1" x14ac:dyDescent="0.15">
      <c r="A30" s="10" t="s">
        <v>666</v>
      </c>
      <c r="B30" s="10" t="s">
        <v>701</v>
      </c>
      <c r="C30" s="10" t="s">
        <v>710</v>
      </c>
      <c r="D30" s="10" t="s">
        <v>711</v>
      </c>
      <c r="E30" s="10" t="str">
        <f t="shared" si="0"/>
        <v>There’s a good chance that the coronavirus was actually man-made in a Chinese laboratory.</v>
      </c>
      <c r="F30" s="10" t="s">
        <v>670</v>
      </c>
      <c r="G30" s="10" t="s">
        <v>704</v>
      </c>
      <c r="H30" s="10" t="s">
        <v>15</v>
      </c>
      <c r="I30" s="10"/>
      <c r="J30" s="10"/>
      <c r="L30" s="15" t="s">
        <v>1309</v>
      </c>
    </row>
    <row r="31" spans="1:12" ht="15.75" customHeight="1" x14ac:dyDescent="0.15">
      <c r="A31" s="10" t="s">
        <v>666</v>
      </c>
      <c r="B31" s="10" t="s">
        <v>701</v>
      </c>
      <c r="C31" s="10" t="s">
        <v>333</v>
      </c>
      <c r="D31" s="10" t="s">
        <v>334</v>
      </c>
      <c r="E31" s="10" t="str">
        <f t="shared" si="0"/>
        <v>Climate change probably played a role in the recent wildfires on the West Coast.</v>
      </c>
      <c r="F31" s="10" t="s">
        <v>670</v>
      </c>
      <c r="G31" s="10" t="s">
        <v>704</v>
      </c>
      <c r="H31" s="11" t="s">
        <v>20</v>
      </c>
      <c r="I31" s="10"/>
      <c r="J31" s="10"/>
      <c r="L31" s="15" t="s">
        <v>1309</v>
      </c>
    </row>
    <row r="32" spans="1:12" ht="15.75" customHeight="1" x14ac:dyDescent="0.15">
      <c r="A32" s="10" t="s">
        <v>666</v>
      </c>
      <c r="B32" s="10" t="s">
        <v>701</v>
      </c>
      <c r="C32" s="10" t="s">
        <v>320</v>
      </c>
      <c r="D32" s="10" t="s">
        <v>321</v>
      </c>
      <c r="E32" s="10" t="str">
        <f t="shared" si="0"/>
        <v>Allowing so many people to vote by mail will inevitably lead to widespread fraud in the elections.</v>
      </c>
      <c r="F32" s="10" t="s">
        <v>670</v>
      </c>
      <c r="G32" s="10" t="s">
        <v>704</v>
      </c>
      <c r="H32" s="10" t="s">
        <v>15</v>
      </c>
      <c r="I32" s="10"/>
      <c r="J32" s="10"/>
      <c r="L32" s="15" t="s">
        <v>1309</v>
      </c>
    </row>
    <row r="33" spans="1:12" ht="15.75" customHeight="1" x14ac:dyDescent="0.15">
      <c r="A33" s="10" t="s">
        <v>30</v>
      </c>
      <c r="B33" s="10" t="s">
        <v>657</v>
      </c>
      <c r="C33" s="13" t="s">
        <v>17</v>
      </c>
      <c r="D33" s="1" t="s">
        <v>92</v>
      </c>
      <c r="E33" s="10" t="str">
        <f>_xlfn.CONCAT("Trust - ", C33)</f>
        <v>Trust - CNN</v>
      </c>
      <c r="F33" s="1" t="s">
        <v>85</v>
      </c>
      <c r="G33" s="1" t="s">
        <v>94</v>
      </c>
      <c r="H33" s="10" t="s">
        <v>20</v>
      </c>
      <c r="I33" s="10"/>
      <c r="J33" s="10">
        <v>1</v>
      </c>
      <c r="L33" s="22" t="s">
        <v>1305</v>
      </c>
    </row>
    <row r="34" spans="1:12" ht="15.75" customHeight="1" x14ac:dyDescent="0.15">
      <c r="A34" s="10" t="s">
        <v>566</v>
      </c>
      <c r="B34" s="10" t="s">
        <v>667</v>
      </c>
      <c r="C34" s="10" t="s">
        <v>712</v>
      </c>
      <c r="D34" s="10" t="s">
        <v>713</v>
      </c>
      <c r="E34" s="10" t="str">
        <f t="shared" ref="E34:E56" si="1">_xlfn.CONCAT("T/F: ", C34)</f>
        <v>T/F: The Republican National Convention had to pull a speaker from its lineup because it was revealed that she had shared anti-Jewish conspiracy theories on social media.</v>
      </c>
      <c r="F34" s="10" t="s">
        <v>714</v>
      </c>
      <c r="G34" s="1" t="s">
        <v>715</v>
      </c>
      <c r="H34" s="10" t="s">
        <v>20</v>
      </c>
      <c r="I34" s="1" t="s">
        <v>423</v>
      </c>
      <c r="J34" s="10"/>
      <c r="K34" s="19"/>
      <c r="L34" s="15" t="s">
        <v>1425</v>
      </c>
    </row>
    <row r="35" spans="1:12" ht="15.75" customHeight="1" x14ac:dyDescent="0.15">
      <c r="A35" s="10" t="s">
        <v>566</v>
      </c>
      <c r="B35" s="10" t="s">
        <v>667</v>
      </c>
      <c r="C35" s="10" t="s">
        <v>716</v>
      </c>
      <c r="D35" s="10" t="s">
        <v>717</v>
      </c>
      <c r="E35" s="10" t="str">
        <f t="shared" si="1"/>
        <v>T/F: The protests in Kenosha, Wisconsin last week did not destroy any property.</v>
      </c>
      <c r="F35" s="10" t="s">
        <v>714</v>
      </c>
      <c r="G35" s="1" t="s">
        <v>715</v>
      </c>
      <c r="H35" s="10" t="s">
        <v>20</v>
      </c>
      <c r="I35" s="1" t="s">
        <v>423</v>
      </c>
      <c r="J35" s="10"/>
      <c r="L35" s="15" t="s">
        <v>1425</v>
      </c>
    </row>
    <row r="36" spans="1:12" ht="15.75" customHeight="1" x14ac:dyDescent="0.15">
      <c r="A36" s="10" t="s">
        <v>566</v>
      </c>
      <c r="B36" s="10" t="s">
        <v>667</v>
      </c>
      <c r="C36" s="10" t="s">
        <v>718</v>
      </c>
      <c r="D36" s="10" t="s">
        <v>719</v>
      </c>
      <c r="E36" s="10" t="str">
        <f t="shared" si="1"/>
        <v>T/F: Jacob Blake, who was recently shot by police in Kenosha, Wisconsin, was armed with a knife and had engaged in a violent struggle with officers moments before officers shot him.</v>
      </c>
      <c r="F36" s="10" t="s">
        <v>714</v>
      </c>
      <c r="G36" s="1" t="s">
        <v>715</v>
      </c>
      <c r="H36" s="10" t="s">
        <v>15</v>
      </c>
      <c r="I36" s="1" t="s">
        <v>423</v>
      </c>
      <c r="J36" s="10"/>
      <c r="L36" s="15" t="s">
        <v>1425</v>
      </c>
    </row>
    <row r="37" spans="1:12" ht="15.75" customHeight="1" x14ac:dyDescent="0.15">
      <c r="A37" s="10" t="s">
        <v>566</v>
      </c>
      <c r="B37" s="10" t="s">
        <v>667</v>
      </c>
      <c r="C37" s="10" t="s">
        <v>720</v>
      </c>
      <c r="D37" s="10" t="s">
        <v>721</v>
      </c>
      <c r="E37" s="10" t="str">
        <f t="shared" si="1"/>
        <v>T/F: Kyle Rittenhouse, the 17-year-old who shot and killed two people at the Kenosha protest, is a Trump supporter.</v>
      </c>
      <c r="F37" s="10" t="s">
        <v>714</v>
      </c>
      <c r="G37" s="1" t="s">
        <v>715</v>
      </c>
      <c r="H37" s="10" t="s">
        <v>20</v>
      </c>
      <c r="I37" s="1" t="s">
        <v>423</v>
      </c>
      <c r="J37" s="10"/>
      <c r="K37" s="19" t="s">
        <v>1147</v>
      </c>
      <c r="L37" s="15" t="s">
        <v>1425</v>
      </c>
    </row>
    <row r="38" spans="1:12" ht="15.75" customHeight="1" x14ac:dyDescent="0.15">
      <c r="A38" s="10" t="s">
        <v>566</v>
      </c>
      <c r="B38" s="10" t="s">
        <v>667</v>
      </c>
      <c r="C38" s="10" t="s">
        <v>722</v>
      </c>
      <c r="D38" s="10" t="s">
        <v>723</v>
      </c>
      <c r="E38" s="10" t="str">
        <f t="shared" si="1"/>
        <v>T/F: Joe Biden expressed support for the protests that occurred last week in Kenosha, Wisconsin.</v>
      </c>
      <c r="F38" s="10" t="s">
        <v>714</v>
      </c>
      <c r="G38" s="1" t="s">
        <v>715</v>
      </c>
      <c r="H38" s="10" t="s">
        <v>15</v>
      </c>
      <c r="I38" s="1" t="s">
        <v>423</v>
      </c>
      <c r="J38" s="10"/>
      <c r="L38" s="15" t="s">
        <v>1425</v>
      </c>
    </row>
    <row r="39" spans="1:12" ht="15.75" customHeight="1" x14ac:dyDescent="0.15">
      <c r="A39" s="10" t="s">
        <v>566</v>
      </c>
      <c r="B39" s="10" t="s">
        <v>682</v>
      </c>
      <c r="C39" s="10" t="s">
        <v>724</v>
      </c>
      <c r="D39" s="10" t="s">
        <v>725</v>
      </c>
      <c r="E39" s="10" t="str">
        <f t="shared" si="1"/>
        <v>T/F: Over 187,000 Americans have died from COVID-19.</v>
      </c>
      <c r="F39" s="10" t="s">
        <v>714</v>
      </c>
      <c r="G39" s="1" t="s">
        <v>726</v>
      </c>
      <c r="H39" s="10" t="s">
        <v>20</v>
      </c>
      <c r="I39" s="1" t="s">
        <v>423</v>
      </c>
      <c r="J39" s="10"/>
      <c r="L39" s="15" t="s">
        <v>1425</v>
      </c>
    </row>
    <row r="40" spans="1:12" ht="15.75" customHeight="1" x14ac:dyDescent="0.15">
      <c r="A40" s="10" t="s">
        <v>566</v>
      </c>
      <c r="B40" s="10" t="s">
        <v>682</v>
      </c>
      <c r="C40" s="10" t="s">
        <v>727</v>
      </c>
      <c r="D40" s="10" t="s">
        <v>728</v>
      </c>
      <c r="E40" s="10" t="str">
        <f t="shared" si="1"/>
        <v>T/F: When he visited Kenosha, Wisconsin, Donald Trump met with the family of Jacob Blake, the 29-year-old African American man who was shot by local police.</v>
      </c>
      <c r="F40" s="10" t="s">
        <v>714</v>
      </c>
      <c r="G40" s="1" t="s">
        <v>726</v>
      </c>
      <c r="H40" s="10" t="s">
        <v>15</v>
      </c>
      <c r="I40" s="1" t="s">
        <v>423</v>
      </c>
      <c r="J40" s="10"/>
      <c r="K40" s="19" t="s">
        <v>1147</v>
      </c>
      <c r="L40" s="15" t="s">
        <v>1425</v>
      </c>
    </row>
    <row r="41" spans="1:12" ht="15.75" customHeight="1" x14ac:dyDescent="0.15">
      <c r="A41" s="10" t="s">
        <v>566</v>
      </c>
      <c r="B41" s="10" t="s">
        <v>682</v>
      </c>
      <c r="C41" s="10" t="s">
        <v>729</v>
      </c>
      <c r="D41" s="10" t="s">
        <v>730</v>
      </c>
      <c r="E41" s="10" t="str">
        <f t="shared" si="1"/>
        <v>T/F: Donald Trump condemned his supporters who fired paintball guns at Black Lives Matters protestors.</v>
      </c>
      <c r="F41" s="10" t="s">
        <v>714</v>
      </c>
      <c r="G41" s="1" t="s">
        <v>726</v>
      </c>
      <c r="H41" s="10" t="s">
        <v>15</v>
      </c>
      <c r="I41" s="1" t="s">
        <v>423</v>
      </c>
      <c r="J41" s="10"/>
      <c r="L41" s="15" t="s">
        <v>1425</v>
      </c>
    </row>
    <row r="42" spans="1:12" ht="15.75" customHeight="1" x14ac:dyDescent="0.15">
      <c r="A42" s="10" t="s">
        <v>566</v>
      </c>
      <c r="B42" s="10" t="s">
        <v>682</v>
      </c>
      <c r="C42" s="10" t="s">
        <v>731</v>
      </c>
      <c r="D42" s="10" t="s">
        <v>732</v>
      </c>
      <c r="E42" s="10" t="str">
        <f t="shared" si="1"/>
        <v>T/F: Donald Trump said that people have seen planes full of “looters” and “thugs” who are “looking for trouble” flying into cities experiencing protests.</v>
      </c>
      <c r="F42" s="10" t="s">
        <v>714</v>
      </c>
      <c r="G42" s="1" t="s">
        <v>726</v>
      </c>
      <c r="H42" s="10" t="s">
        <v>20</v>
      </c>
      <c r="I42" s="1" t="s">
        <v>423</v>
      </c>
      <c r="J42" s="10"/>
      <c r="K42" s="19" t="s">
        <v>1147</v>
      </c>
      <c r="L42" s="15" t="s">
        <v>1425</v>
      </c>
    </row>
    <row r="43" spans="1:12" ht="15.75" customHeight="1" x14ac:dyDescent="0.15">
      <c r="A43" s="10" t="s">
        <v>566</v>
      </c>
      <c r="B43" s="10" t="s">
        <v>682</v>
      </c>
      <c r="C43" s="10" t="s">
        <v>733</v>
      </c>
      <c r="D43" s="10" t="s">
        <v>734</v>
      </c>
      <c r="E43" s="10" t="str">
        <f t="shared" si="1"/>
        <v>T/F: Nancy Pelosi recently got a haircut in San Francisco but did not wear a mask, in violation of local health regulations.</v>
      </c>
      <c r="F43" s="10" t="s">
        <v>714</v>
      </c>
      <c r="G43" s="1" t="s">
        <v>726</v>
      </c>
      <c r="H43" s="10" t="s">
        <v>15</v>
      </c>
      <c r="I43" s="1" t="s">
        <v>423</v>
      </c>
      <c r="J43" s="10"/>
      <c r="L43" s="15" t="s">
        <v>1425</v>
      </c>
    </row>
    <row r="44" spans="1:12" ht="15.75" customHeight="1" x14ac:dyDescent="0.15">
      <c r="A44" s="10" t="s">
        <v>566</v>
      </c>
      <c r="B44" s="10" t="s">
        <v>682</v>
      </c>
      <c r="C44" s="10" t="s">
        <v>735</v>
      </c>
      <c r="D44" s="10" t="s">
        <v>417</v>
      </c>
      <c r="E44" s="10" t="str">
        <f t="shared" si="1"/>
        <v>T/F: The Department of Homeland Security recently warned that the Russian government is promoting claims that mail-in voting encourages fraud in order to undermine confidence in the 2020 election.</v>
      </c>
      <c r="F44" s="10" t="s">
        <v>714</v>
      </c>
      <c r="G44" s="1" t="s">
        <v>726</v>
      </c>
      <c r="H44" s="10" t="s">
        <v>20</v>
      </c>
      <c r="I44" s="1" t="s">
        <v>423</v>
      </c>
      <c r="J44" s="10"/>
      <c r="K44" s="19" t="s">
        <v>1150</v>
      </c>
      <c r="L44" s="15" t="s">
        <v>1425</v>
      </c>
    </row>
    <row r="45" spans="1:12" ht="15.75" customHeight="1" x14ac:dyDescent="0.15">
      <c r="A45" s="10" t="s">
        <v>566</v>
      </c>
      <c r="B45" s="10" t="s">
        <v>682</v>
      </c>
      <c r="C45" s="10" t="s">
        <v>736</v>
      </c>
      <c r="D45" s="10" t="s">
        <v>419</v>
      </c>
      <c r="E45" s="10" t="str">
        <f t="shared" si="1"/>
        <v>T/F: Joe Biden issued a statement condemning violence by Black Lives Matter activists.</v>
      </c>
      <c r="F45" s="10" t="s">
        <v>714</v>
      </c>
      <c r="G45" s="1" t="s">
        <v>726</v>
      </c>
      <c r="H45" s="10" t="s">
        <v>20</v>
      </c>
      <c r="I45" s="1" t="s">
        <v>423</v>
      </c>
      <c r="J45" s="10"/>
      <c r="L45" s="15" t="s">
        <v>1425</v>
      </c>
    </row>
    <row r="46" spans="1:12" ht="15.75" customHeight="1" x14ac:dyDescent="0.15">
      <c r="A46" s="10" t="s">
        <v>566</v>
      </c>
      <c r="B46" s="10" t="s">
        <v>682</v>
      </c>
      <c r="C46" s="10" t="s">
        <v>421</v>
      </c>
      <c r="D46" s="10" t="s">
        <v>422</v>
      </c>
      <c r="E46" s="10" t="str">
        <f t="shared" si="1"/>
        <v>T/F: President Donald Trump referred to US soldiers who died in combat and are buried at the Aisne-Marne cemetery as "losers" and "suckers."</v>
      </c>
      <c r="F46" s="10" t="s">
        <v>714</v>
      </c>
      <c r="G46" s="1" t="s">
        <v>726</v>
      </c>
      <c r="H46" s="10" t="s">
        <v>20</v>
      </c>
      <c r="I46" s="1" t="s">
        <v>423</v>
      </c>
      <c r="J46" s="10"/>
      <c r="L46" s="15" t="s">
        <v>1425</v>
      </c>
    </row>
    <row r="47" spans="1:12" ht="15.75" customHeight="1" x14ac:dyDescent="0.15">
      <c r="A47" s="10" t="s">
        <v>566</v>
      </c>
      <c r="B47" s="10" t="s">
        <v>688</v>
      </c>
      <c r="C47" s="10" t="s">
        <v>737</v>
      </c>
      <c r="D47" s="10" t="s">
        <v>738</v>
      </c>
      <c r="E47" s="10" t="str">
        <f t="shared" si="1"/>
        <v>T/F: Most polls show that the Presidential election is basically tied between Trump and Biden in key swing states.</v>
      </c>
      <c r="F47" s="10" t="s">
        <v>714</v>
      </c>
      <c r="G47" s="1" t="s">
        <v>739</v>
      </c>
      <c r="H47" s="1" t="s">
        <v>15</v>
      </c>
      <c r="I47" s="1" t="s">
        <v>423</v>
      </c>
      <c r="J47" s="10"/>
      <c r="L47" s="15" t="s">
        <v>1425</v>
      </c>
    </row>
    <row r="48" spans="1:12" ht="15.75" customHeight="1" x14ac:dyDescent="0.15">
      <c r="A48" s="10" t="s">
        <v>566</v>
      </c>
      <c r="B48" s="10" t="s">
        <v>688</v>
      </c>
      <c r="C48" s="10" t="s">
        <v>740</v>
      </c>
      <c r="D48" s="10" t="s">
        <v>425</v>
      </c>
      <c r="E48" s="10" t="str">
        <f t="shared" si="1"/>
        <v>T/F: Donald Trump last week banned diversity trainings for government staff that incorporate teachings about “critical race theory” and “white privilege”.</v>
      </c>
      <c r="F48" s="10" t="s">
        <v>714</v>
      </c>
      <c r="G48" s="1" t="s">
        <v>739</v>
      </c>
      <c r="H48" s="1" t="s">
        <v>15</v>
      </c>
      <c r="I48" s="1" t="s">
        <v>423</v>
      </c>
      <c r="J48" s="10"/>
      <c r="L48" s="15" t="s">
        <v>1425</v>
      </c>
    </row>
    <row r="49" spans="1:12" ht="15.75" customHeight="1" x14ac:dyDescent="0.15">
      <c r="A49" s="10" t="s">
        <v>566</v>
      </c>
      <c r="B49" s="10" t="s">
        <v>688</v>
      </c>
      <c r="C49" s="10" t="s">
        <v>440</v>
      </c>
      <c r="D49" s="10" t="s">
        <v>441</v>
      </c>
      <c r="E49" s="10" t="str">
        <f t="shared" si="1"/>
        <v>T/F: Donald Trump’s campaign is taking significant safety precautions at its rallies to reduce the risk that rally attendees spread the coronavirus to each other.</v>
      </c>
      <c r="F49" s="10" t="s">
        <v>714</v>
      </c>
      <c r="G49" s="1" t="s">
        <v>739</v>
      </c>
      <c r="H49" s="1" t="s">
        <v>15</v>
      </c>
      <c r="I49" s="1" t="s">
        <v>423</v>
      </c>
      <c r="J49" s="10"/>
      <c r="K49" s="19" t="s">
        <v>1147</v>
      </c>
      <c r="L49" s="15" t="s">
        <v>1425</v>
      </c>
    </row>
    <row r="50" spans="1:12" ht="15.75" customHeight="1" x14ac:dyDescent="0.15">
      <c r="A50" s="10" t="s">
        <v>566</v>
      </c>
      <c r="B50" s="10" t="s">
        <v>688</v>
      </c>
      <c r="C50" s="10" t="s">
        <v>427</v>
      </c>
      <c r="D50" s="10" t="s">
        <v>428</v>
      </c>
      <c r="E50" s="10" t="str">
        <f t="shared" si="1"/>
        <v>T/F: Back in February, Donald Trump admitted privately that he knew the coronavirus was much more deadly than the flu.</v>
      </c>
      <c r="F50" s="10" t="s">
        <v>714</v>
      </c>
      <c r="G50" s="1" t="s">
        <v>739</v>
      </c>
      <c r="H50" s="10" t="s">
        <v>20</v>
      </c>
      <c r="I50" s="1" t="s">
        <v>423</v>
      </c>
      <c r="J50" s="10"/>
      <c r="K50" s="19" t="s">
        <v>1147</v>
      </c>
      <c r="L50" s="15" t="s">
        <v>1425</v>
      </c>
    </row>
    <row r="51" spans="1:12" ht="15.75" customHeight="1" x14ac:dyDescent="0.15">
      <c r="A51" s="10" t="s">
        <v>566</v>
      </c>
      <c r="B51" s="10" t="s">
        <v>688</v>
      </c>
      <c r="C51" s="10" t="s">
        <v>741</v>
      </c>
      <c r="D51" s="10" t="s">
        <v>742</v>
      </c>
      <c r="E51" s="10" t="str">
        <f t="shared" si="1"/>
        <v>T/F: Members of the Mueller investigation into Russian interference in the 2016 election intentionally "wiped" their phones, in violation of federal record keeping laws.</v>
      </c>
      <c r="F51" s="10" t="s">
        <v>714</v>
      </c>
      <c r="G51" s="1" t="s">
        <v>739</v>
      </c>
      <c r="H51" s="10" t="s">
        <v>15</v>
      </c>
      <c r="I51" s="1" t="s">
        <v>423</v>
      </c>
      <c r="J51" s="10"/>
      <c r="L51" s="15" t="s">
        <v>1425</v>
      </c>
    </row>
    <row r="52" spans="1:12" ht="15.75" customHeight="1" x14ac:dyDescent="0.15">
      <c r="A52" s="10" t="s">
        <v>566</v>
      </c>
      <c r="B52" s="10" t="s">
        <v>701</v>
      </c>
      <c r="C52" s="10" t="s">
        <v>743</v>
      </c>
      <c r="D52" s="10" t="s">
        <v>443</v>
      </c>
      <c r="E52" s="10" t="str">
        <f t="shared" si="1"/>
        <v>T/F: Last week, Israel, the United Arab Emirates, and Bahrain signed a Middle East peace deal at the White House.</v>
      </c>
      <c r="F52" s="10" t="s">
        <v>714</v>
      </c>
      <c r="G52" s="1" t="s">
        <v>744</v>
      </c>
      <c r="H52" s="10" t="s">
        <v>15</v>
      </c>
      <c r="I52" s="1" t="s">
        <v>423</v>
      </c>
      <c r="J52" s="10"/>
      <c r="L52" s="15" t="s">
        <v>1425</v>
      </c>
    </row>
    <row r="53" spans="1:12" ht="15.75" customHeight="1" x14ac:dyDescent="0.15">
      <c r="A53" s="10" t="s">
        <v>566</v>
      </c>
      <c r="B53" s="10" t="s">
        <v>701</v>
      </c>
      <c r="C53" s="10" t="s">
        <v>745</v>
      </c>
      <c r="D53" s="10" t="s">
        <v>746</v>
      </c>
      <c r="E53" s="10" t="str">
        <f t="shared" si="1"/>
        <v>T/F: Olivia Troye, a former counterterrorism adviser to Vice President Pence, endorsed Joe Biden for President.</v>
      </c>
      <c r="F53" s="10" t="s">
        <v>714</v>
      </c>
      <c r="G53" s="1" t="s">
        <v>744</v>
      </c>
      <c r="H53" s="11" t="s">
        <v>20</v>
      </c>
      <c r="I53" s="1" t="s">
        <v>423</v>
      </c>
      <c r="J53" s="10"/>
      <c r="L53" s="15" t="s">
        <v>1425</v>
      </c>
    </row>
    <row r="54" spans="1:12" ht="15.75" customHeight="1" x14ac:dyDescent="0.15">
      <c r="A54" s="10" t="s">
        <v>566</v>
      </c>
      <c r="B54" s="10" t="s">
        <v>701</v>
      </c>
      <c r="C54" s="10" t="s">
        <v>747</v>
      </c>
      <c r="D54" s="10" t="s">
        <v>748</v>
      </c>
      <c r="E54" s="10" t="str">
        <f t="shared" si="1"/>
        <v>T/F: In 2016, Senator Lindsey Graham said that presidents should not nominate Supreme Court justices in a Presidential election year.</v>
      </c>
      <c r="F54" s="10" t="s">
        <v>714</v>
      </c>
      <c r="G54" s="1" t="s">
        <v>744</v>
      </c>
      <c r="H54" s="1" t="s">
        <v>20</v>
      </c>
      <c r="I54" s="1" t="s">
        <v>423</v>
      </c>
      <c r="J54" s="10"/>
      <c r="L54" s="15" t="s">
        <v>1425</v>
      </c>
    </row>
    <row r="55" spans="1:12" ht="15.75" customHeight="1" x14ac:dyDescent="0.15">
      <c r="A55" s="10" t="s">
        <v>566</v>
      </c>
      <c r="B55" s="10" t="s">
        <v>701</v>
      </c>
      <c r="C55" s="10" t="s">
        <v>749</v>
      </c>
      <c r="D55" s="10" t="s">
        <v>750</v>
      </c>
      <c r="E55" s="10" t="str">
        <f t="shared" si="1"/>
        <v>T/F: The person who shot two police officers in Los Angeles said he was inspired by the Black Lives Matter movement to do so.</v>
      </c>
      <c r="F55" s="10" t="s">
        <v>714</v>
      </c>
      <c r="G55" s="1" t="s">
        <v>744</v>
      </c>
      <c r="H55" s="1" t="s">
        <v>15</v>
      </c>
      <c r="I55" s="1" t="s">
        <v>423</v>
      </c>
      <c r="J55" s="10"/>
      <c r="L55" s="15" t="s">
        <v>1425</v>
      </c>
    </row>
    <row r="56" spans="1:12" ht="15.75" customHeight="1" x14ac:dyDescent="0.15">
      <c r="A56" s="10" t="s">
        <v>566</v>
      </c>
      <c r="B56" s="10" t="s">
        <v>701</v>
      </c>
      <c r="C56" s="10" t="s">
        <v>751</v>
      </c>
      <c r="D56" s="10" t="s">
        <v>752</v>
      </c>
      <c r="E56" s="10" t="str">
        <f t="shared" si="1"/>
        <v>T/F: Elementary schools across America are now teaching children to believe the key messages of the Black Lives Matter movement.</v>
      </c>
      <c r="F56" s="10" t="s">
        <v>714</v>
      </c>
      <c r="G56" s="1" t="s">
        <v>744</v>
      </c>
      <c r="H56" s="10" t="s">
        <v>15</v>
      </c>
      <c r="I56" s="1" t="s">
        <v>423</v>
      </c>
      <c r="J56" s="10"/>
      <c r="L56" s="15" t="s">
        <v>1425</v>
      </c>
    </row>
    <row r="57" spans="1:12" ht="15.75" customHeight="1" x14ac:dyDescent="0.15">
      <c r="A57" s="10" t="s">
        <v>30</v>
      </c>
      <c r="B57" s="10" t="s">
        <v>657</v>
      </c>
      <c r="C57" s="13" t="s">
        <v>10</v>
      </c>
      <c r="D57" s="1" t="s">
        <v>87</v>
      </c>
      <c r="E57" s="10" t="str">
        <f>_xlfn.CONCAT("Trust - ", C57)</f>
        <v>Trust - Fox News</v>
      </c>
      <c r="F57" s="1" t="s">
        <v>85</v>
      </c>
      <c r="G57" s="1" t="s">
        <v>89</v>
      </c>
      <c r="H57" s="10" t="s">
        <v>15</v>
      </c>
      <c r="I57" s="10"/>
      <c r="J57" s="10">
        <v>1</v>
      </c>
      <c r="L57" s="22" t="s">
        <v>1305</v>
      </c>
    </row>
    <row r="58" spans="1:12" ht="15.75" customHeight="1" x14ac:dyDescent="0.15">
      <c r="A58" s="10" t="s">
        <v>30</v>
      </c>
      <c r="B58" s="10" t="s">
        <v>657</v>
      </c>
      <c r="C58" s="13" t="s">
        <v>82</v>
      </c>
      <c r="D58" s="1" t="s">
        <v>83</v>
      </c>
      <c r="E58" s="10" t="str">
        <f>C58</f>
        <v>The media in general</v>
      </c>
      <c r="F58" s="1" t="s">
        <v>85</v>
      </c>
      <c r="G58" s="1" t="s">
        <v>86</v>
      </c>
      <c r="H58" s="10" t="s">
        <v>20</v>
      </c>
      <c r="I58" s="10"/>
      <c r="J58" s="10">
        <v>1</v>
      </c>
      <c r="L58" s="22" t="s">
        <v>1305</v>
      </c>
    </row>
    <row r="59" spans="1:12" ht="15.75" customHeight="1" x14ac:dyDescent="0.15">
      <c r="A59" s="10" t="s">
        <v>116</v>
      </c>
      <c r="B59" s="10" t="s">
        <v>657</v>
      </c>
      <c r="C59" s="10" t="s">
        <v>753</v>
      </c>
      <c r="D59" s="10" t="s">
        <v>754</v>
      </c>
      <c r="E59" s="10" t="str">
        <f>_xlfn.CONCAT("Saw ", C59)</f>
        <v>Saw Negative news about Donald Trump</v>
      </c>
      <c r="F59" s="10" t="s">
        <v>660</v>
      </c>
      <c r="G59" s="10" t="s">
        <v>755</v>
      </c>
      <c r="H59" s="10" t="s">
        <v>20</v>
      </c>
      <c r="I59" s="10" t="s">
        <v>756</v>
      </c>
      <c r="J59" s="10"/>
      <c r="L59" s="15" t="s">
        <v>1424</v>
      </c>
    </row>
    <row r="60" spans="1:12" ht="15.75" customHeight="1" x14ac:dyDescent="0.15">
      <c r="A60" s="10" t="s">
        <v>116</v>
      </c>
      <c r="B60" s="10" t="s">
        <v>657</v>
      </c>
      <c r="C60" s="10" t="s">
        <v>757</v>
      </c>
      <c r="D60" s="10" t="s">
        <v>758</v>
      </c>
      <c r="E60" s="10" t="str">
        <f>_xlfn.CONCAT("Saw ", C60)</f>
        <v>Saw Positive news about Donald Trump</v>
      </c>
      <c r="F60" s="10" t="s">
        <v>660</v>
      </c>
      <c r="G60" s="10" t="s">
        <v>755</v>
      </c>
      <c r="H60" s="10" t="s">
        <v>15</v>
      </c>
      <c r="I60" s="10" t="s">
        <v>756</v>
      </c>
      <c r="J60" s="10"/>
      <c r="L60" s="15" t="s">
        <v>1424</v>
      </c>
    </row>
    <row r="61" spans="1:12" ht="15.75" customHeight="1" x14ac:dyDescent="0.15">
      <c r="A61" s="10" t="s">
        <v>116</v>
      </c>
      <c r="B61" s="10" t="s">
        <v>657</v>
      </c>
      <c r="C61" s="10" t="s">
        <v>759</v>
      </c>
      <c r="D61" s="10" t="s">
        <v>760</v>
      </c>
      <c r="E61" s="10" t="str">
        <f>_xlfn.CONCAT("Saw ", C61)</f>
        <v>Saw Negative news about Joe Biden</v>
      </c>
      <c r="F61" s="10" t="s">
        <v>660</v>
      </c>
      <c r="G61" s="10" t="s">
        <v>755</v>
      </c>
      <c r="H61" s="10" t="s">
        <v>15</v>
      </c>
      <c r="I61" s="10" t="s">
        <v>756</v>
      </c>
      <c r="J61" s="10"/>
      <c r="L61" s="15" t="s">
        <v>1424</v>
      </c>
    </row>
    <row r="62" spans="1:12" ht="15.75" customHeight="1" x14ac:dyDescent="0.15">
      <c r="A62" s="10" t="s">
        <v>116</v>
      </c>
      <c r="B62" s="10" t="s">
        <v>657</v>
      </c>
      <c r="C62" s="10" t="s">
        <v>761</v>
      </c>
      <c r="D62" s="10" t="s">
        <v>762</v>
      </c>
      <c r="E62" s="10" t="str">
        <f>_xlfn.CONCAT("Saw ", C62)</f>
        <v>Saw Positive news about Joe Biden</v>
      </c>
      <c r="F62" s="10" t="s">
        <v>660</v>
      </c>
      <c r="G62" s="10" t="s">
        <v>755</v>
      </c>
      <c r="H62" s="10" t="s">
        <v>20</v>
      </c>
      <c r="I62" s="10" t="s">
        <v>756</v>
      </c>
      <c r="J62" s="10"/>
      <c r="L62" s="15" t="s">
        <v>1424</v>
      </c>
    </row>
    <row r="63" spans="1:12" ht="15.75" customHeight="1" x14ac:dyDescent="0.15">
      <c r="A63" s="10" t="s">
        <v>21</v>
      </c>
      <c r="B63" s="10" t="s">
        <v>657</v>
      </c>
      <c r="C63" s="10" t="s">
        <v>763</v>
      </c>
      <c r="D63" s="10" t="s">
        <v>764</v>
      </c>
      <c r="E63" s="10" t="str">
        <f t="shared" ref="E63:E64" si="2">C63</f>
        <v>Happy</v>
      </c>
      <c r="F63" s="10" t="s">
        <v>765</v>
      </c>
      <c r="G63" s="10" t="s">
        <v>766</v>
      </c>
      <c r="H63" s="10" t="s">
        <v>20</v>
      </c>
      <c r="I63" s="10" t="s">
        <v>767</v>
      </c>
      <c r="J63" s="10"/>
      <c r="L63" s="16" t="s">
        <v>1324</v>
      </c>
    </row>
    <row r="64" spans="1:12" ht="15.75" customHeight="1" x14ac:dyDescent="0.15">
      <c r="A64" s="10" t="s">
        <v>27</v>
      </c>
      <c r="B64" s="10" t="s">
        <v>657</v>
      </c>
      <c r="C64" s="10" t="s">
        <v>768</v>
      </c>
      <c r="D64" s="10" t="s">
        <v>769</v>
      </c>
      <c r="E64" s="10" t="str">
        <f t="shared" si="2"/>
        <v>Anxious</v>
      </c>
      <c r="F64" s="10" t="s">
        <v>765</v>
      </c>
      <c r="G64" s="10" t="s">
        <v>766</v>
      </c>
      <c r="H64" s="10" t="s">
        <v>15</v>
      </c>
      <c r="I64" s="10" t="s">
        <v>767</v>
      </c>
      <c r="J64" s="10"/>
      <c r="L64" s="16" t="s">
        <v>1325</v>
      </c>
    </row>
  </sheetData>
  <phoneticPr fontId="13" type="noConversion"/>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205"/>
  <sheetViews>
    <sheetView tabSelected="1" workbookViewId="0">
      <pane ySplit="1" topLeftCell="A102" activePane="bottomLeft" state="frozen"/>
      <selection pane="bottomLeft" activeCell="F105" sqref="F105"/>
    </sheetView>
  </sheetViews>
  <sheetFormatPr baseColWidth="10" defaultColWidth="12.6640625" defaultRowHeight="15.75" customHeight="1" x14ac:dyDescent="0.15"/>
  <cols>
    <col min="1" max="1" width="5.5" customWidth="1"/>
    <col min="2" max="2" width="37.5" customWidth="1"/>
    <col min="3" max="3" width="24.6640625" bestFit="1" customWidth="1"/>
    <col min="4" max="4" width="79.1640625" bestFit="1" customWidth="1"/>
    <col min="5" max="5" width="23.6640625" bestFit="1" customWidth="1"/>
    <col min="6" max="6" width="32" bestFit="1" customWidth="1"/>
    <col min="7" max="7" width="13.5" bestFit="1" customWidth="1"/>
    <col min="8" max="8" width="89" bestFit="1" customWidth="1"/>
    <col min="9" max="9" width="22" bestFit="1" customWidth="1"/>
    <col min="10" max="10" width="12.1640625" bestFit="1" customWidth="1"/>
    <col min="11" max="11" width="95.33203125" bestFit="1" customWidth="1"/>
  </cols>
  <sheetData>
    <row r="1" spans="1:11" ht="15.75" customHeight="1" x14ac:dyDescent="0.15">
      <c r="A1" s="1" t="s">
        <v>0</v>
      </c>
      <c r="B1" s="1" t="s">
        <v>1</v>
      </c>
      <c r="C1" s="1" t="s">
        <v>2</v>
      </c>
      <c r="D1" s="1" t="s">
        <v>3</v>
      </c>
      <c r="E1" s="1" t="s">
        <v>4</v>
      </c>
      <c r="F1" s="1" t="s">
        <v>5</v>
      </c>
      <c r="G1" s="1" t="s">
        <v>6</v>
      </c>
      <c r="H1" s="1" t="s">
        <v>7</v>
      </c>
      <c r="I1" s="1" t="s">
        <v>8</v>
      </c>
      <c r="J1" s="19" t="s">
        <v>1146</v>
      </c>
      <c r="K1" s="1" t="s">
        <v>772</v>
      </c>
    </row>
    <row r="2" spans="1:11" ht="15.75" customHeight="1" x14ac:dyDescent="0.15">
      <c r="A2" s="1" t="s">
        <v>9</v>
      </c>
      <c r="B2" s="1" t="s">
        <v>10</v>
      </c>
      <c r="C2" s="1" t="s">
        <v>11</v>
      </c>
      <c r="D2" s="1" t="s">
        <v>12</v>
      </c>
      <c r="E2" s="1" t="s">
        <v>13</v>
      </c>
      <c r="F2" s="1" t="s">
        <v>14</v>
      </c>
      <c r="G2" s="1" t="s">
        <v>15</v>
      </c>
      <c r="H2" s="1" t="s">
        <v>16</v>
      </c>
      <c r="I2" s="1">
        <v>1</v>
      </c>
      <c r="K2" s="1" t="s">
        <v>1426</v>
      </c>
    </row>
    <row r="3" spans="1:11" ht="15.75" customHeight="1" x14ac:dyDescent="0.15">
      <c r="A3" s="1" t="s">
        <v>9</v>
      </c>
      <c r="B3" s="1" t="s">
        <v>17</v>
      </c>
      <c r="C3" s="1" t="s">
        <v>18</v>
      </c>
      <c r="D3" s="1" t="s">
        <v>19</v>
      </c>
      <c r="E3" s="1" t="s">
        <v>13</v>
      </c>
      <c r="F3" s="1" t="s">
        <v>14</v>
      </c>
      <c r="G3" s="1" t="s">
        <v>20</v>
      </c>
      <c r="H3" s="1" t="s">
        <v>16</v>
      </c>
      <c r="I3" s="1">
        <v>1</v>
      </c>
      <c r="K3" s="1" t="s">
        <v>1426</v>
      </c>
    </row>
    <row r="4" spans="1:11" ht="15.75" customHeight="1" x14ac:dyDescent="0.15">
      <c r="A4" s="1" t="s">
        <v>21</v>
      </c>
      <c r="B4" s="1" t="s">
        <v>10</v>
      </c>
      <c r="C4" s="1" t="s">
        <v>22</v>
      </c>
      <c r="D4" s="1" t="s">
        <v>23</v>
      </c>
      <c r="E4" s="1" t="s">
        <v>24</v>
      </c>
      <c r="F4" s="1" t="s">
        <v>25</v>
      </c>
      <c r="G4" s="1" t="s">
        <v>15</v>
      </c>
      <c r="H4" s="1" t="s">
        <v>26</v>
      </c>
      <c r="I4" s="1">
        <v>1</v>
      </c>
      <c r="K4" s="1" t="s">
        <v>1427</v>
      </c>
    </row>
    <row r="5" spans="1:11" ht="15.75" customHeight="1" x14ac:dyDescent="0.15">
      <c r="A5" s="1" t="s">
        <v>27</v>
      </c>
      <c r="B5" s="1" t="s">
        <v>17</v>
      </c>
      <c r="C5" s="1" t="s">
        <v>28</v>
      </c>
      <c r="D5" s="1" t="s">
        <v>29</v>
      </c>
      <c r="E5" s="1" t="s">
        <v>24</v>
      </c>
      <c r="F5" s="1" t="s">
        <v>14</v>
      </c>
      <c r="G5" s="1" t="s">
        <v>20</v>
      </c>
      <c r="H5" s="1" t="s">
        <v>26</v>
      </c>
      <c r="I5" s="1">
        <v>1</v>
      </c>
      <c r="K5" s="1" t="s">
        <v>1427</v>
      </c>
    </row>
    <row r="6" spans="1:11" ht="15.75" customHeight="1" x14ac:dyDescent="0.15">
      <c r="A6" s="1" t="s">
        <v>30</v>
      </c>
      <c r="B6" s="1" t="s">
        <v>31</v>
      </c>
      <c r="C6" s="1" t="s">
        <v>32</v>
      </c>
      <c r="D6" s="1" t="s">
        <v>33</v>
      </c>
      <c r="E6" s="1" t="s">
        <v>14</v>
      </c>
      <c r="F6" s="1" t="s">
        <v>14</v>
      </c>
      <c r="G6" s="1" t="s">
        <v>14</v>
      </c>
      <c r="H6" s="1" t="s">
        <v>26</v>
      </c>
      <c r="I6" s="1"/>
      <c r="K6" s="1" t="s">
        <v>1427</v>
      </c>
    </row>
    <row r="7" spans="1:11" ht="15.75" customHeight="1" x14ac:dyDescent="0.15">
      <c r="A7" s="1" t="s">
        <v>34</v>
      </c>
      <c r="B7" s="2" t="s">
        <v>35</v>
      </c>
      <c r="C7" s="1" t="s">
        <v>36</v>
      </c>
      <c r="D7" s="1" t="s">
        <v>37</v>
      </c>
      <c r="E7" s="1" t="s">
        <v>38</v>
      </c>
      <c r="F7" s="1" t="s">
        <v>14</v>
      </c>
      <c r="G7" s="1" t="s">
        <v>20</v>
      </c>
      <c r="H7" s="1"/>
      <c r="I7" s="1">
        <v>1</v>
      </c>
      <c r="K7" s="1" t="s">
        <v>1428</v>
      </c>
    </row>
    <row r="8" spans="1:11" ht="15.75" customHeight="1" x14ac:dyDescent="0.15">
      <c r="A8" s="1" t="s">
        <v>34</v>
      </c>
      <c r="B8" s="2" t="s">
        <v>39</v>
      </c>
      <c r="C8" s="1" t="s">
        <v>40</v>
      </c>
      <c r="D8" s="1" t="s">
        <v>41</v>
      </c>
      <c r="E8" s="1" t="s">
        <v>42</v>
      </c>
      <c r="F8" s="1" t="s">
        <v>14</v>
      </c>
      <c r="G8" s="1" t="s">
        <v>14</v>
      </c>
      <c r="H8" s="1"/>
      <c r="I8" s="1"/>
      <c r="K8" s="1" t="s">
        <v>1428</v>
      </c>
    </row>
    <row r="9" spans="1:11" ht="15.75" customHeight="1" x14ac:dyDescent="0.15">
      <c r="A9" s="1" t="s">
        <v>34</v>
      </c>
      <c r="B9" s="2" t="s">
        <v>43</v>
      </c>
      <c r="C9" s="1" t="s">
        <v>44</v>
      </c>
      <c r="D9" s="1" t="s">
        <v>45</v>
      </c>
      <c r="E9" s="1" t="s">
        <v>42</v>
      </c>
      <c r="F9" s="1" t="s">
        <v>14</v>
      </c>
      <c r="G9" s="1" t="s">
        <v>14</v>
      </c>
      <c r="H9" s="1"/>
      <c r="I9" s="1"/>
      <c r="K9" s="1" t="s">
        <v>1428</v>
      </c>
    </row>
    <row r="10" spans="1:11" ht="15.75" customHeight="1" x14ac:dyDescent="0.15">
      <c r="A10" s="1" t="s">
        <v>34</v>
      </c>
      <c r="B10" s="2" t="s">
        <v>46</v>
      </c>
      <c r="C10" s="1" t="s">
        <v>47</v>
      </c>
      <c r="D10" s="1" t="s">
        <v>48</v>
      </c>
      <c r="E10" s="1" t="s">
        <v>42</v>
      </c>
      <c r="F10" s="1" t="s">
        <v>14</v>
      </c>
      <c r="G10" s="1" t="s">
        <v>14</v>
      </c>
      <c r="H10" s="1"/>
      <c r="I10" s="1"/>
      <c r="K10" s="1" t="s">
        <v>1428</v>
      </c>
    </row>
    <row r="11" spans="1:11" ht="15.75" customHeight="1" x14ac:dyDescent="0.15">
      <c r="A11" s="1" t="s">
        <v>49</v>
      </c>
      <c r="B11" s="2" t="s">
        <v>50</v>
      </c>
      <c r="C11" s="1" t="s">
        <v>51</v>
      </c>
      <c r="D11" s="1" t="s">
        <v>52</v>
      </c>
      <c r="E11" s="1" t="s">
        <v>53</v>
      </c>
      <c r="F11" s="1" t="s">
        <v>53</v>
      </c>
      <c r="G11" s="1" t="s">
        <v>14</v>
      </c>
      <c r="H11" s="1"/>
      <c r="I11" s="1"/>
      <c r="K11" s="1" t="s">
        <v>1429</v>
      </c>
    </row>
    <row r="12" spans="1:11" ht="15.75" customHeight="1" x14ac:dyDescent="0.15">
      <c r="A12" s="1" t="s">
        <v>49</v>
      </c>
      <c r="B12" s="2" t="s">
        <v>54</v>
      </c>
      <c r="C12" s="1" t="s">
        <v>55</v>
      </c>
      <c r="D12" s="1" t="s">
        <v>56</v>
      </c>
      <c r="E12" s="1" t="s">
        <v>53</v>
      </c>
      <c r="F12" s="1" t="s">
        <v>53</v>
      </c>
      <c r="G12" s="1" t="s">
        <v>14</v>
      </c>
      <c r="H12" s="1"/>
      <c r="I12" s="1"/>
      <c r="K12" s="1" t="s">
        <v>1429</v>
      </c>
    </row>
    <row r="13" spans="1:11" ht="15.75" customHeight="1" x14ac:dyDescent="0.15">
      <c r="A13" s="1" t="s">
        <v>49</v>
      </c>
      <c r="B13" s="3" t="s">
        <v>57</v>
      </c>
      <c r="C13" s="1" t="s">
        <v>58</v>
      </c>
      <c r="D13" s="1" t="s">
        <v>59</v>
      </c>
      <c r="E13" s="1" t="s">
        <v>53</v>
      </c>
      <c r="F13" s="1" t="s">
        <v>53</v>
      </c>
      <c r="G13" s="1" t="s">
        <v>14</v>
      </c>
      <c r="H13" s="1"/>
      <c r="I13" s="1"/>
      <c r="K13" s="1" t="s">
        <v>1429</v>
      </c>
    </row>
    <row r="14" spans="1:11" ht="15.75" customHeight="1" x14ac:dyDescent="0.15">
      <c r="A14" s="1" t="s">
        <v>49</v>
      </c>
      <c r="B14" s="3" t="s">
        <v>60</v>
      </c>
      <c r="C14" s="1" t="s">
        <v>61</v>
      </c>
      <c r="D14" s="1" t="s">
        <v>62</v>
      </c>
      <c r="E14" s="1" t="s">
        <v>53</v>
      </c>
      <c r="F14" s="1" t="s">
        <v>53</v>
      </c>
      <c r="G14" s="1" t="s">
        <v>14</v>
      </c>
      <c r="H14" s="1"/>
      <c r="I14" s="1"/>
      <c r="K14" s="1" t="s">
        <v>1429</v>
      </c>
    </row>
    <row r="15" spans="1:11" ht="15.75" customHeight="1" x14ac:dyDescent="0.15">
      <c r="A15" s="1" t="s">
        <v>49</v>
      </c>
      <c r="B15" s="3" t="s">
        <v>63</v>
      </c>
      <c r="C15" s="1" t="s">
        <v>64</v>
      </c>
      <c r="D15" s="1" t="s">
        <v>65</v>
      </c>
      <c r="E15" s="1" t="s">
        <v>53</v>
      </c>
      <c r="F15" s="1" t="s">
        <v>53</v>
      </c>
      <c r="G15" s="1" t="s">
        <v>14</v>
      </c>
      <c r="H15" s="1"/>
      <c r="I15" s="1"/>
      <c r="K15" s="1" t="s">
        <v>1429</v>
      </c>
    </row>
    <row r="16" spans="1:11" ht="15.75" customHeight="1" x14ac:dyDescent="0.15">
      <c r="A16" s="1" t="s">
        <v>49</v>
      </c>
      <c r="B16" s="3" t="s">
        <v>66</v>
      </c>
      <c r="C16" s="1" t="s">
        <v>67</v>
      </c>
      <c r="D16" s="4" t="s">
        <v>68</v>
      </c>
      <c r="E16" s="1" t="s">
        <v>53</v>
      </c>
      <c r="F16" s="1" t="s">
        <v>53</v>
      </c>
      <c r="G16" s="1" t="s">
        <v>14</v>
      </c>
      <c r="H16" s="1"/>
      <c r="I16" s="1"/>
      <c r="K16" s="1" t="s">
        <v>1429</v>
      </c>
    </row>
    <row r="17" spans="1:11" ht="15.75" customHeight="1" x14ac:dyDescent="0.15">
      <c r="A17" s="1" t="s">
        <v>49</v>
      </c>
      <c r="B17" s="3" t="s">
        <v>69</v>
      </c>
      <c r="C17" s="1" t="s">
        <v>70</v>
      </c>
      <c r="D17" s="4" t="s">
        <v>71</v>
      </c>
      <c r="E17" s="1" t="s">
        <v>53</v>
      </c>
      <c r="F17" s="1" t="s">
        <v>53</v>
      </c>
      <c r="G17" s="1" t="s">
        <v>14</v>
      </c>
      <c r="H17" s="1"/>
      <c r="I17" s="1"/>
      <c r="K17" s="1" t="s">
        <v>1429</v>
      </c>
    </row>
    <row r="18" spans="1:11" ht="15.75" customHeight="1" x14ac:dyDescent="0.15">
      <c r="A18" s="1" t="s">
        <v>49</v>
      </c>
      <c r="B18" s="3" t="s">
        <v>72</v>
      </c>
      <c r="C18" s="1" t="s">
        <v>73</v>
      </c>
      <c r="D18" s="1" t="s">
        <v>74</v>
      </c>
      <c r="E18" s="1" t="s">
        <v>53</v>
      </c>
      <c r="F18" s="1" t="s">
        <v>53</v>
      </c>
      <c r="G18" s="1" t="s">
        <v>14</v>
      </c>
      <c r="H18" s="1"/>
      <c r="I18" s="1"/>
      <c r="K18" s="1" t="s">
        <v>1429</v>
      </c>
    </row>
    <row r="19" spans="1:11" ht="15.75" customHeight="1" x14ac:dyDescent="0.15">
      <c r="A19" s="1" t="s">
        <v>49</v>
      </c>
      <c r="B19" s="3" t="s">
        <v>75</v>
      </c>
      <c r="C19" s="1" t="s">
        <v>76</v>
      </c>
      <c r="D19" s="1" t="s">
        <v>77</v>
      </c>
      <c r="E19" s="1" t="s">
        <v>53</v>
      </c>
      <c r="F19" s="1" t="s">
        <v>53</v>
      </c>
      <c r="G19" s="1" t="s">
        <v>14</v>
      </c>
      <c r="H19" s="1"/>
      <c r="I19" s="1"/>
      <c r="K19" s="1" t="s">
        <v>1429</v>
      </c>
    </row>
    <row r="20" spans="1:11" ht="15.75" customHeight="1" x14ac:dyDescent="0.15">
      <c r="A20" s="1" t="s">
        <v>49</v>
      </c>
      <c r="B20" s="3" t="s">
        <v>78</v>
      </c>
      <c r="C20" s="1" t="s">
        <v>79</v>
      </c>
      <c r="D20" s="1" t="s">
        <v>80</v>
      </c>
      <c r="E20" s="1" t="s">
        <v>53</v>
      </c>
      <c r="F20" s="1" t="s">
        <v>53</v>
      </c>
      <c r="G20" s="1" t="s">
        <v>14</v>
      </c>
      <c r="H20" s="1"/>
      <c r="I20" s="1"/>
      <c r="K20" s="1" t="s">
        <v>1429</v>
      </c>
    </row>
    <row r="21" spans="1:11" ht="15.75" customHeight="1" x14ac:dyDescent="0.15">
      <c r="A21" s="1" t="s">
        <v>81</v>
      </c>
      <c r="B21" s="2" t="s">
        <v>82</v>
      </c>
      <c r="C21" s="1" t="s">
        <v>83</v>
      </c>
      <c r="D21" s="1" t="s">
        <v>84</v>
      </c>
      <c r="E21" s="1" t="s">
        <v>85</v>
      </c>
      <c r="F21" s="1" t="s">
        <v>86</v>
      </c>
      <c r="G21" s="1" t="s">
        <v>20</v>
      </c>
      <c r="H21" s="1"/>
      <c r="I21" s="1">
        <v>1</v>
      </c>
      <c r="K21" s="1" t="s">
        <v>1430</v>
      </c>
    </row>
    <row r="22" spans="1:11" ht="15.75" customHeight="1" x14ac:dyDescent="0.15">
      <c r="A22" s="1" t="s">
        <v>81</v>
      </c>
      <c r="B22" s="2" t="s">
        <v>10</v>
      </c>
      <c r="C22" s="1" t="s">
        <v>87</v>
      </c>
      <c r="D22" s="1" t="s">
        <v>88</v>
      </c>
      <c r="E22" s="1" t="s">
        <v>85</v>
      </c>
      <c r="F22" s="1" t="s">
        <v>89</v>
      </c>
      <c r="G22" s="1" t="s">
        <v>15</v>
      </c>
      <c r="H22" s="1"/>
      <c r="I22" s="1">
        <v>1</v>
      </c>
      <c r="K22" s="1" t="s">
        <v>1430</v>
      </c>
    </row>
    <row r="23" spans="1:11" ht="15.75" customHeight="1" x14ac:dyDescent="0.15">
      <c r="A23" s="1" t="s">
        <v>81</v>
      </c>
      <c r="B23" s="2" t="s">
        <v>31</v>
      </c>
      <c r="C23" s="1" t="s">
        <v>90</v>
      </c>
      <c r="D23" s="1" t="s">
        <v>91</v>
      </c>
      <c r="E23" s="1" t="s">
        <v>85</v>
      </c>
      <c r="F23" s="1" t="s">
        <v>14</v>
      </c>
      <c r="G23" s="1" t="s">
        <v>14</v>
      </c>
      <c r="H23" s="1"/>
      <c r="I23" s="1"/>
      <c r="K23" s="1" t="s">
        <v>1430</v>
      </c>
    </row>
    <row r="24" spans="1:11" ht="15.75" customHeight="1" x14ac:dyDescent="0.15">
      <c r="A24" s="1" t="s">
        <v>81</v>
      </c>
      <c r="B24" s="2" t="s">
        <v>17</v>
      </c>
      <c r="C24" s="1" t="s">
        <v>92</v>
      </c>
      <c r="D24" s="1" t="s">
        <v>93</v>
      </c>
      <c r="E24" s="1" t="s">
        <v>85</v>
      </c>
      <c r="F24" s="1" t="s">
        <v>94</v>
      </c>
      <c r="G24" s="1" t="s">
        <v>20</v>
      </c>
      <c r="H24" s="1"/>
      <c r="I24" s="1">
        <v>1</v>
      </c>
      <c r="K24" s="1" t="s">
        <v>1430</v>
      </c>
    </row>
    <row r="25" spans="1:11" ht="15.75" customHeight="1" x14ac:dyDescent="0.15">
      <c r="A25" s="1" t="s">
        <v>95</v>
      </c>
      <c r="B25" s="2" t="s">
        <v>96</v>
      </c>
      <c r="C25" s="1" t="s">
        <v>97</v>
      </c>
      <c r="D25" s="1" t="str">
        <f t="shared" ref="D25:D34" si="0">B25</f>
        <v>Fox News only covers news stories that help Republicans.</v>
      </c>
      <c r="E25" s="1" t="s">
        <v>85</v>
      </c>
      <c r="F25" s="1" t="s">
        <v>89</v>
      </c>
      <c r="G25" s="1" t="s">
        <v>20</v>
      </c>
      <c r="H25" s="1"/>
      <c r="I25" s="1"/>
      <c r="K25" s="1" t="s">
        <v>1431</v>
      </c>
    </row>
    <row r="26" spans="1:11" ht="15.75" customHeight="1" x14ac:dyDescent="0.15">
      <c r="A26" s="1" t="s">
        <v>95</v>
      </c>
      <c r="B26" s="2" t="s">
        <v>98</v>
      </c>
      <c r="C26" s="1" t="s">
        <v>99</v>
      </c>
      <c r="D26" s="1" t="str">
        <f t="shared" si="0"/>
        <v>CNN only covers news stories that help Democrats.</v>
      </c>
      <c r="E26" s="1" t="s">
        <v>85</v>
      </c>
      <c r="F26" s="1" t="s">
        <v>94</v>
      </c>
      <c r="G26" s="1" t="s">
        <v>15</v>
      </c>
      <c r="H26" s="1"/>
      <c r="I26" s="1"/>
      <c r="K26" s="1" t="s">
        <v>1431</v>
      </c>
    </row>
    <row r="27" spans="1:11" ht="15.75" customHeight="1" x14ac:dyDescent="0.15">
      <c r="A27" s="1" t="s">
        <v>95</v>
      </c>
      <c r="B27" s="2" t="s">
        <v>100</v>
      </c>
      <c r="C27" s="1" t="s">
        <v>101</v>
      </c>
      <c r="D27" s="1" t="str">
        <f t="shared" si="0"/>
        <v>If Donald Trump did something bad, Fox News would discuss it.</v>
      </c>
      <c r="E27" s="1" t="s">
        <v>85</v>
      </c>
      <c r="F27" s="1" t="s">
        <v>89</v>
      </c>
      <c r="G27" s="1" t="s">
        <v>15</v>
      </c>
      <c r="H27" s="1"/>
      <c r="I27" s="1"/>
      <c r="K27" s="1" t="s">
        <v>1431</v>
      </c>
    </row>
    <row r="28" spans="1:11" ht="15.75" customHeight="1" x14ac:dyDescent="0.15">
      <c r="A28" s="1" t="s">
        <v>95</v>
      </c>
      <c r="B28" s="2" t="s">
        <v>102</v>
      </c>
      <c r="C28" s="1" t="s">
        <v>103</v>
      </c>
      <c r="D28" s="1" t="str">
        <f t="shared" si="0"/>
        <v>If Joe Biden did something bad, CNN would discuss it.</v>
      </c>
      <c r="E28" s="1" t="s">
        <v>85</v>
      </c>
      <c r="F28" s="1" t="s">
        <v>94</v>
      </c>
      <c r="G28" s="1" t="s">
        <v>20</v>
      </c>
      <c r="H28" s="1"/>
      <c r="I28" s="1"/>
      <c r="K28" s="1" t="s">
        <v>1431</v>
      </c>
    </row>
    <row r="29" spans="1:11" ht="15.75" customHeight="1" x14ac:dyDescent="0.15">
      <c r="A29" s="1" t="s">
        <v>95</v>
      </c>
      <c r="B29" s="2" t="s">
        <v>104</v>
      </c>
      <c r="C29" s="1" t="s">
        <v>105</v>
      </c>
      <c r="D29" s="1" t="str">
        <f t="shared" si="0"/>
        <v>When covering important news stories, Fox News tells the whole story.</v>
      </c>
      <c r="E29" s="1" t="s">
        <v>85</v>
      </c>
      <c r="F29" s="1" t="s">
        <v>89</v>
      </c>
      <c r="G29" s="1" t="s">
        <v>15</v>
      </c>
      <c r="H29" s="1"/>
      <c r="I29" s="1"/>
      <c r="K29" s="1" t="s">
        <v>1431</v>
      </c>
    </row>
    <row r="30" spans="1:11" ht="15.75" customHeight="1" x14ac:dyDescent="0.15">
      <c r="A30" s="1" t="s">
        <v>95</v>
      </c>
      <c r="B30" s="2" t="s">
        <v>106</v>
      </c>
      <c r="C30" s="1" t="s">
        <v>107</v>
      </c>
      <c r="D30" s="1" t="str">
        <f t="shared" si="0"/>
        <v>When covering important news stories, CNN tells the whole story.</v>
      </c>
      <c r="E30" s="1" t="s">
        <v>85</v>
      </c>
      <c r="F30" s="1" t="s">
        <v>94</v>
      </c>
      <c r="G30" s="1" t="s">
        <v>20</v>
      </c>
      <c r="H30" s="1"/>
      <c r="I30" s="1"/>
      <c r="K30" s="1" t="s">
        <v>1431</v>
      </c>
    </row>
    <row r="31" spans="1:11" ht="15.75" customHeight="1" x14ac:dyDescent="0.15">
      <c r="A31" s="1" t="s">
        <v>95</v>
      </c>
      <c r="B31" s="2" t="s">
        <v>108</v>
      </c>
      <c r="C31" s="1" t="s">
        <v>109</v>
      </c>
      <c r="D31" s="1" t="str">
        <f t="shared" si="0"/>
        <v>If I were to watch CNN next week, I would learn something important that I wouldn’t hear on Fox News.</v>
      </c>
      <c r="E31" s="1" t="s">
        <v>85</v>
      </c>
      <c r="F31" s="1" t="s">
        <v>94</v>
      </c>
      <c r="G31" s="1" t="s">
        <v>20</v>
      </c>
      <c r="H31" s="1"/>
      <c r="I31" s="1"/>
      <c r="K31" s="1" t="s">
        <v>1431</v>
      </c>
    </row>
    <row r="32" spans="1:11" ht="15.75" customHeight="1" x14ac:dyDescent="0.15">
      <c r="A32" s="1" t="s">
        <v>95</v>
      </c>
      <c r="B32" s="2" t="s">
        <v>110</v>
      </c>
      <c r="C32" s="1" t="s">
        <v>111</v>
      </c>
      <c r="D32" s="1" t="str">
        <f t="shared" si="0"/>
        <v>CNN is good for society.</v>
      </c>
      <c r="E32" s="1" t="s">
        <v>85</v>
      </c>
      <c r="F32" s="1" t="s">
        <v>94</v>
      </c>
      <c r="G32" s="1" t="s">
        <v>20</v>
      </c>
      <c r="H32" s="1"/>
      <c r="I32" s="1"/>
      <c r="K32" s="1" t="s">
        <v>1431</v>
      </c>
    </row>
    <row r="33" spans="1:11" ht="15.75" customHeight="1" x14ac:dyDescent="0.15">
      <c r="A33" s="1" t="s">
        <v>95</v>
      </c>
      <c r="B33" s="2" t="s">
        <v>112</v>
      </c>
      <c r="C33" s="1" t="s">
        <v>113</v>
      </c>
      <c r="D33" s="1" t="str">
        <f t="shared" si="0"/>
        <v>Fox News is good for society.</v>
      </c>
      <c r="E33" s="1" t="s">
        <v>85</v>
      </c>
      <c r="F33" s="1" t="s">
        <v>89</v>
      </c>
      <c r="G33" s="1" t="s">
        <v>15</v>
      </c>
      <c r="H33" s="1"/>
      <c r="I33" s="1"/>
      <c r="K33" s="1" t="s">
        <v>1431</v>
      </c>
    </row>
    <row r="34" spans="1:11" ht="15.75" customHeight="1" x14ac:dyDescent="0.15">
      <c r="A34" s="1" t="s">
        <v>95</v>
      </c>
      <c r="B34" s="2" t="s">
        <v>114</v>
      </c>
      <c r="C34" s="1" t="s">
        <v>115</v>
      </c>
      <c r="D34" s="1" t="str">
        <f t="shared" si="0"/>
        <v>If people spent some time watching CNN, they would realize it isn't as bad as they think.</v>
      </c>
      <c r="E34" s="1" t="s">
        <v>85</v>
      </c>
      <c r="F34" s="1" t="s">
        <v>94</v>
      </c>
      <c r="G34" s="1" t="s">
        <v>20</v>
      </c>
      <c r="H34" s="1"/>
      <c r="I34" s="1">
        <v>1</v>
      </c>
      <c r="K34" s="1" t="s">
        <v>1431</v>
      </c>
    </row>
    <row r="35" spans="1:11" ht="15.75" customHeight="1" x14ac:dyDescent="0.15">
      <c r="A35" s="1" t="s">
        <v>116</v>
      </c>
      <c r="B35" s="2" t="s">
        <v>117</v>
      </c>
      <c r="C35" s="1" t="s">
        <v>118</v>
      </c>
      <c r="D35" s="1" t="s">
        <v>119</v>
      </c>
      <c r="E35" s="1" t="s">
        <v>85</v>
      </c>
      <c r="F35" s="1" t="s">
        <v>14</v>
      </c>
      <c r="G35" s="1" t="s">
        <v>15</v>
      </c>
      <c r="H35" s="1"/>
      <c r="I35" s="1"/>
      <c r="K35" s="22" t="s">
        <v>1303</v>
      </c>
    </row>
    <row r="36" spans="1:11" ht="15.75" customHeight="1" x14ac:dyDescent="0.15">
      <c r="A36" s="1" t="s">
        <v>116</v>
      </c>
      <c r="B36" s="2" t="s">
        <v>120</v>
      </c>
      <c r="C36" s="1" t="s">
        <v>121</v>
      </c>
      <c r="D36" s="1" t="s">
        <v>122</v>
      </c>
      <c r="E36" s="1" t="s">
        <v>85</v>
      </c>
      <c r="F36" s="1" t="s">
        <v>14</v>
      </c>
      <c r="G36" s="1" t="s">
        <v>20</v>
      </c>
      <c r="H36" s="1"/>
      <c r="I36" s="1">
        <v>1</v>
      </c>
      <c r="K36" s="22" t="s">
        <v>1303</v>
      </c>
    </row>
    <row r="37" spans="1:11" ht="15.75" customHeight="1" x14ac:dyDescent="0.15">
      <c r="A37" s="1" t="s">
        <v>116</v>
      </c>
      <c r="B37" s="2" t="s">
        <v>123</v>
      </c>
      <c r="C37" s="1" t="s">
        <v>124</v>
      </c>
      <c r="D37" s="1" t="s">
        <v>125</v>
      </c>
      <c r="E37" s="1" t="s">
        <v>38</v>
      </c>
      <c r="F37" s="1" t="s">
        <v>126</v>
      </c>
      <c r="G37" s="1" t="s">
        <v>20</v>
      </c>
      <c r="H37" s="1"/>
      <c r="I37" s="1"/>
      <c r="K37" s="22" t="s">
        <v>1303</v>
      </c>
    </row>
    <row r="38" spans="1:11" ht="15.75" customHeight="1" x14ac:dyDescent="0.15">
      <c r="A38" s="1" t="s">
        <v>127</v>
      </c>
      <c r="B38" s="1"/>
      <c r="C38" s="1" t="s">
        <v>128</v>
      </c>
      <c r="D38" s="1" t="s">
        <v>129</v>
      </c>
      <c r="E38" s="1" t="s">
        <v>130</v>
      </c>
      <c r="F38" s="1" t="s">
        <v>130</v>
      </c>
      <c r="G38" s="1" t="s">
        <v>15</v>
      </c>
      <c r="H38" s="1" t="s">
        <v>131</v>
      </c>
      <c r="I38" s="1">
        <v>1</v>
      </c>
      <c r="J38" s="19" t="s">
        <v>1149</v>
      </c>
      <c r="K38" s="22" t="s">
        <v>1432</v>
      </c>
    </row>
    <row r="39" spans="1:11" ht="15.75" customHeight="1" x14ac:dyDescent="0.15">
      <c r="A39" s="1" t="s">
        <v>132</v>
      </c>
      <c r="B39" s="2" t="s">
        <v>133</v>
      </c>
      <c r="C39" s="1" t="s">
        <v>134</v>
      </c>
      <c r="D39" s="1" t="str">
        <f t="shared" ref="D39:D47" si="1">_xlfn.CONCAT("Trump evaluation: ", B39)</f>
        <v>Trump evaluation: Managing the coronavirus pandemic</v>
      </c>
      <c r="E39" s="1" t="s">
        <v>135</v>
      </c>
      <c r="F39" s="1" t="s">
        <v>136</v>
      </c>
      <c r="G39" s="1" t="s">
        <v>15</v>
      </c>
      <c r="H39" s="1"/>
      <c r="I39" s="1"/>
      <c r="K39" s="22" t="s">
        <v>1432</v>
      </c>
    </row>
    <row r="40" spans="1:11" ht="15.75" customHeight="1" x14ac:dyDescent="0.15">
      <c r="A40" s="1" t="s">
        <v>132</v>
      </c>
      <c r="B40" s="2" t="s">
        <v>137</v>
      </c>
      <c r="C40" s="1" t="s">
        <v>138</v>
      </c>
      <c r="D40" s="1" t="str">
        <f t="shared" si="1"/>
        <v>Trump evaluation: Encouraging good relationships between different racial groups in the US</v>
      </c>
      <c r="E40" s="1" t="s">
        <v>135</v>
      </c>
      <c r="F40" s="1" t="s">
        <v>136</v>
      </c>
      <c r="G40" s="1" t="s">
        <v>15</v>
      </c>
      <c r="H40" s="1"/>
      <c r="I40" s="1"/>
      <c r="J40" s="19" t="s">
        <v>94</v>
      </c>
      <c r="K40" s="22" t="s">
        <v>1432</v>
      </c>
    </row>
    <row r="41" spans="1:11" ht="15.75" customHeight="1" x14ac:dyDescent="0.15">
      <c r="A41" s="1" t="s">
        <v>132</v>
      </c>
      <c r="B41" s="2" t="s">
        <v>139</v>
      </c>
      <c r="C41" s="1" t="s">
        <v>140</v>
      </c>
      <c r="D41" s="1" t="str">
        <f t="shared" si="1"/>
        <v>Trump evaluation: Managing the economy</v>
      </c>
      <c r="E41" s="1" t="s">
        <v>135</v>
      </c>
      <c r="F41" s="1" t="s">
        <v>136</v>
      </c>
      <c r="G41" s="1" t="s">
        <v>15</v>
      </c>
      <c r="H41" s="1"/>
      <c r="I41" s="1"/>
      <c r="K41" s="22" t="s">
        <v>1432</v>
      </c>
    </row>
    <row r="42" spans="1:11" ht="15.75" customHeight="1" x14ac:dyDescent="0.15">
      <c r="A42" s="1" t="s">
        <v>132</v>
      </c>
      <c r="B42" s="2" t="s">
        <v>141</v>
      </c>
      <c r="C42" s="1" t="s">
        <v>142</v>
      </c>
      <c r="D42" s="1" t="str">
        <f t="shared" si="1"/>
        <v>Trump evaluation: The environment and climate change</v>
      </c>
      <c r="E42" s="1" t="s">
        <v>135</v>
      </c>
      <c r="F42" s="1" t="s">
        <v>136</v>
      </c>
      <c r="G42" s="1" t="s">
        <v>15</v>
      </c>
      <c r="H42" s="1"/>
      <c r="I42" s="1"/>
      <c r="K42" s="22" t="s">
        <v>1432</v>
      </c>
    </row>
    <row r="43" spans="1:11" ht="15.75" customHeight="1" x14ac:dyDescent="0.15">
      <c r="A43" s="1" t="s">
        <v>132</v>
      </c>
      <c r="B43" s="2" t="s">
        <v>143</v>
      </c>
      <c r="C43" s="1" t="s">
        <v>144</v>
      </c>
      <c r="D43" s="1" t="str">
        <f t="shared" si="1"/>
        <v>Trump evaluation: Ensuring the election is fair and that people trust the results</v>
      </c>
      <c r="E43" s="1" t="s">
        <v>135</v>
      </c>
      <c r="F43" s="1" t="s">
        <v>136</v>
      </c>
      <c r="G43" s="1" t="s">
        <v>15</v>
      </c>
      <c r="H43" s="1"/>
      <c r="I43" s="1"/>
      <c r="J43" s="19" t="s">
        <v>94</v>
      </c>
      <c r="K43" s="22" t="s">
        <v>1432</v>
      </c>
    </row>
    <row r="44" spans="1:11" ht="15.75" customHeight="1" x14ac:dyDescent="0.15">
      <c r="A44" s="1" t="s">
        <v>132</v>
      </c>
      <c r="B44" s="2" t="s">
        <v>145</v>
      </c>
      <c r="C44" s="1" t="s">
        <v>146</v>
      </c>
      <c r="D44" s="1" t="str">
        <f t="shared" si="1"/>
        <v>Trump evaluation: Respecting the military</v>
      </c>
      <c r="E44" s="1" t="s">
        <v>135</v>
      </c>
      <c r="F44" s="1" t="s">
        <v>136</v>
      </c>
      <c r="G44" s="1" t="s">
        <v>15</v>
      </c>
      <c r="H44" s="1"/>
      <c r="I44" s="1"/>
      <c r="K44" s="22" t="s">
        <v>1432</v>
      </c>
    </row>
    <row r="45" spans="1:11" ht="15.75" customHeight="1" x14ac:dyDescent="0.15">
      <c r="A45" s="1" t="s">
        <v>132</v>
      </c>
      <c r="B45" s="2" t="s">
        <v>147</v>
      </c>
      <c r="C45" s="1" t="s">
        <v>148</v>
      </c>
      <c r="D45" s="1" t="str">
        <f t="shared" si="1"/>
        <v>Trump evaluation: Encouraging Americans to stay safe from and not spread the coronavirus</v>
      </c>
      <c r="E45" s="1" t="s">
        <v>135</v>
      </c>
      <c r="F45" s="1" t="s">
        <v>136</v>
      </c>
      <c r="G45" s="1" t="s">
        <v>15</v>
      </c>
      <c r="H45" s="1"/>
      <c r="I45" s="1"/>
      <c r="J45" s="19" t="s">
        <v>94</v>
      </c>
      <c r="K45" s="22" t="s">
        <v>1432</v>
      </c>
    </row>
    <row r="46" spans="1:11" ht="15.75" customHeight="1" x14ac:dyDescent="0.15">
      <c r="A46" s="1" t="s">
        <v>132</v>
      </c>
      <c r="B46" s="2" t="s">
        <v>149</v>
      </c>
      <c r="C46" s="1" t="s">
        <v>150</v>
      </c>
      <c r="D46" s="1" t="str">
        <f t="shared" si="1"/>
        <v>Trump evaluation: Overseeing the development of a vaccine for the coronavirus</v>
      </c>
      <c r="E46" s="1" t="s">
        <v>135</v>
      </c>
      <c r="F46" s="1" t="s">
        <v>136</v>
      </c>
      <c r="G46" s="1" t="s">
        <v>15</v>
      </c>
      <c r="H46" s="1"/>
      <c r="I46" s="1"/>
      <c r="K46" s="22" t="s">
        <v>1432</v>
      </c>
    </row>
    <row r="47" spans="1:11" ht="15.75" customHeight="1" x14ac:dyDescent="0.15">
      <c r="A47" s="1" t="s">
        <v>132</v>
      </c>
      <c r="B47" s="2" t="s">
        <v>151</v>
      </c>
      <c r="C47" s="1" t="s">
        <v>152</v>
      </c>
      <c r="D47" s="1" t="str">
        <f t="shared" si="1"/>
        <v>Trump evaluation: Ensuring America does not get drawn into any unnecessary wars</v>
      </c>
      <c r="E47" s="1" t="s">
        <v>135</v>
      </c>
      <c r="F47" s="1" t="s">
        <v>136</v>
      </c>
      <c r="G47" s="1" t="s">
        <v>15</v>
      </c>
      <c r="H47" s="1"/>
      <c r="I47" s="1"/>
      <c r="K47" s="22" t="s">
        <v>1432</v>
      </c>
    </row>
    <row r="48" spans="1:11" ht="15.75" customHeight="1" x14ac:dyDescent="0.15">
      <c r="A48" s="1" t="s">
        <v>153</v>
      </c>
      <c r="B48" s="2" t="s">
        <v>154</v>
      </c>
      <c r="C48" s="1" t="s">
        <v>155</v>
      </c>
      <c r="D48" s="1" t="str">
        <f t="shared" ref="D48:D55" si="2">_xlfn.CONCAT("Issue importance: ", B48)</f>
        <v>Issue importance: The coronavirus pandemic</v>
      </c>
      <c r="E48" s="1" t="s">
        <v>130</v>
      </c>
      <c r="F48" s="1" t="s">
        <v>130</v>
      </c>
      <c r="G48" s="1" t="s">
        <v>20</v>
      </c>
      <c r="H48" s="1"/>
      <c r="I48" s="1"/>
      <c r="K48" s="22" t="s">
        <v>1433</v>
      </c>
    </row>
    <row r="49" spans="1:11" ht="15.75" customHeight="1" x14ac:dyDescent="0.15">
      <c r="A49" s="1" t="s">
        <v>153</v>
      </c>
      <c r="B49" s="2" t="s">
        <v>156</v>
      </c>
      <c r="C49" s="1" t="s">
        <v>157</v>
      </c>
      <c r="D49" s="1" t="str">
        <f t="shared" si="2"/>
        <v>Issue importance: The economy</v>
      </c>
      <c r="E49" s="1" t="s">
        <v>130</v>
      </c>
      <c r="F49" s="1" t="s">
        <v>14</v>
      </c>
      <c r="G49" s="1" t="s">
        <v>14</v>
      </c>
      <c r="H49" s="1"/>
      <c r="I49" s="1"/>
      <c r="K49" s="22" t="s">
        <v>1433</v>
      </c>
    </row>
    <row r="50" spans="1:11" ht="15.75" customHeight="1" x14ac:dyDescent="0.15">
      <c r="A50" s="1" t="s">
        <v>153</v>
      </c>
      <c r="B50" s="2" t="s">
        <v>158</v>
      </c>
      <c r="C50" s="1" t="s">
        <v>159</v>
      </c>
      <c r="D50" s="1" t="str">
        <f t="shared" si="2"/>
        <v>Issue importance: Healthcare</v>
      </c>
      <c r="E50" s="1" t="s">
        <v>130</v>
      </c>
      <c r="F50" s="1" t="s">
        <v>130</v>
      </c>
      <c r="G50" s="1" t="s">
        <v>20</v>
      </c>
      <c r="H50" s="1"/>
      <c r="I50" s="1"/>
      <c r="K50" s="22" t="s">
        <v>1433</v>
      </c>
    </row>
    <row r="51" spans="1:11" ht="15.75" customHeight="1" x14ac:dyDescent="0.15">
      <c r="A51" s="1" t="s">
        <v>153</v>
      </c>
      <c r="B51" s="2" t="s">
        <v>141</v>
      </c>
      <c r="C51" s="1" t="s">
        <v>160</v>
      </c>
      <c r="D51" s="1" t="str">
        <f t="shared" si="2"/>
        <v>Issue importance: The environment and climate change</v>
      </c>
      <c r="E51" s="1" t="s">
        <v>130</v>
      </c>
      <c r="F51" s="1" t="s">
        <v>130</v>
      </c>
      <c r="G51" s="1" t="s">
        <v>20</v>
      </c>
      <c r="H51" s="1"/>
      <c r="I51" s="1"/>
      <c r="K51" s="22" t="s">
        <v>1433</v>
      </c>
    </row>
    <row r="52" spans="1:11" ht="15.75" customHeight="1" x14ac:dyDescent="0.15">
      <c r="A52" s="1" t="s">
        <v>153</v>
      </c>
      <c r="B52" s="2" t="s">
        <v>161</v>
      </c>
      <c r="C52" s="1" t="s">
        <v>162</v>
      </c>
      <c r="D52" s="1" t="str">
        <f t="shared" si="2"/>
        <v>Issue importance: Violence in American cities</v>
      </c>
      <c r="E52" s="1" t="s">
        <v>130</v>
      </c>
      <c r="F52" s="1" t="s">
        <v>130</v>
      </c>
      <c r="G52" s="1" t="s">
        <v>15</v>
      </c>
      <c r="H52" s="1"/>
      <c r="I52" s="1"/>
      <c r="K52" s="22" t="s">
        <v>1433</v>
      </c>
    </row>
    <row r="53" spans="1:11" ht="15.75" customHeight="1" x14ac:dyDescent="0.15">
      <c r="A53" s="1" t="s">
        <v>153</v>
      </c>
      <c r="B53" s="2" t="s">
        <v>163</v>
      </c>
      <c r="C53" s="1" t="s">
        <v>164</v>
      </c>
      <c r="D53" s="1" t="str">
        <f t="shared" si="2"/>
        <v>Issue importance: Danger to American values from people with extreme views on race</v>
      </c>
      <c r="E53" s="1" t="s">
        <v>130</v>
      </c>
      <c r="F53" s="1" t="s">
        <v>130</v>
      </c>
      <c r="G53" s="1" t="s">
        <v>15</v>
      </c>
      <c r="H53" s="1"/>
      <c r="I53" s="1"/>
      <c r="K53" s="22" t="s">
        <v>1433</v>
      </c>
    </row>
    <row r="54" spans="1:11" ht="15.75" customHeight="1" x14ac:dyDescent="0.15">
      <c r="A54" s="1" t="s">
        <v>153</v>
      </c>
      <c r="B54" s="2" t="s">
        <v>165</v>
      </c>
      <c r="C54" s="1" t="s">
        <v>166</v>
      </c>
      <c r="D54" s="1" t="str">
        <f t="shared" si="2"/>
        <v>Issue importance: Danger to America from socialism</v>
      </c>
      <c r="E54" s="1" t="s">
        <v>130</v>
      </c>
      <c r="F54" s="1" t="s">
        <v>130</v>
      </c>
      <c r="G54" s="1" t="s">
        <v>15</v>
      </c>
      <c r="H54" s="1"/>
      <c r="I54" s="1"/>
      <c r="K54" s="22" t="s">
        <v>1433</v>
      </c>
    </row>
    <row r="55" spans="1:11" ht="15.75" customHeight="1" x14ac:dyDescent="0.15">
      <c r="A55" s="1" t="s">
        <v>153</v>
      </c>
      <c r="B55" s="1" t="s">
        <v>167</v>
      </c>
      <c r="C55" s="1" t="s">
        <v>168</v>
      </c>
      <c r="D55" s="1" t="str">
        <f t="shared" si="2"/>
        <v>Issue importance: The risk of fraud in the elections</v>
      </c>
      <c r="E55" s="1" t="s">
        <v>130</v>
      </c>
      <c r="F55" s="1" t="s">
        <v>130</v>
      </c>
      <c r="G55" s="1" t="s">
        <v>15</v>
      </c>
      <c r="H55" s="1"/>
      <c r="I55" s="1"/>
      <c r="K55" s="22" t="s">
        <v>1433</v>
      </c>
    </row>
    <row r="56" spans="1:11" ht="15.75" customHeight="1" x14ac:dyDescent="0.15">
      <c r="A56" s="1" t="s">
        <v>169</v>
      </c>
      <c r="B56" s="2" t="s">
        <v>170</v>
      </c>
      <c r="C56" s="1" t="s">
        <v>171</v>
      </c>
      <c r="D56" s="1" t="str">
        <f t="shared" ref="D56:D72" si="3">_xlfn.CONCAT("Feeling therm: ", B56)</f>
        <v>Feeling therm: Blacks</v>
      </c>
      <c r="E56" s="1" t="s">
        <v>172</v>
      </c>
      <c r="F56" s="1" t="s">
        <v>172</v>
      </c>
      <c r="G56" s="1" t="s">
        <v>20</v>
      </c>
      <c r="H56" s="1"/>
      <c r="I56" s="1"/>
      <c r="K56" s="16" t="s">
        <v>907</v>
      </c>
    </row>
    <row r="57" spans="1:11" ht="15.75" customHeight="1" x14ac:dyDescent="0.15">
      <c r="A57" s="1" t="s">
        <v>169</v>
      </c>
      <c r="B57" s="2" t="s">
        <v>173</v>
      </c>
      <c r="C57" s="1" t="s">
        <v>174</v>
      </c>
      <c r="D57" s="1" t="str">
        <f t="shared" si="3"/>
        <v>Feeling therm: Whites</v>
      </c>
      <c r="E57" s="1" t="s">
        <v>42</v>
      </c>
      <c r="F57" s="1" t="s">
        <v>14</v>
      </c>
      <c r="G57" s="1" t="s">
        <v>14</v>
      </c>
      <c r="H57" s="1"/>
      <c r="I57" s="1"/>
      <c r="K57" s="16" t="s">
        <v>907</v>
      </c>
    </row>
    <row r="58" spans="1:11" ht="15.75" customHeight="1" x14ac:dyDescent="0.15">
      <c r="A58" s="1" t="s">
        <v>169</v>
      </c>
      <c r="B58" s="2" t="s">
        <v>175</v>
      </c>
      <c r="C58" s="1" t="s">
        <v>176</v>
      </c>
      <c r="D58" s="1" t="str">
        <f t="shared" si="3"/>
        <v>Feeling therm: Hispanics</v>
      </c>
      <c r="E58" s="1" t="s">
        <v>42</v>
      </c>
      <c r="F58" s="1" t="s">
        <v>14</v>
      </c>
      <c r="G58" s="1" t="s">
        <v>14</v>
      </c>
      <c r="H58" s="1"/>
      <c r="I58" s="1"/>
      <c r="K58" s="16" t="s">
        <v>907</v>
      </c>
    </row>
    <row r="59" spans="1:11" ht="15.75" customHeight="1" x14ac:dyDescent="0.15">
      <c r="A59" s="1" t="s">
        <v>169</v>
      </c>
      <c r="B59" s="2" t="s">
        <v>177</v>
      </c>
      <c r="C59" s="1" t="s">
        <v>178</v>
      </c>
      <c r="D59" s="1" t="str">
        <f t="shared" si="3"/>
        <v>Feeling therm: Asians</v>
      </c>
      <c r="E59" s="1" t="s">
        <v>42</v>
      </c>
      <c r="F59" s="1" t="s">
        <v>14</v>
      </c>
      <c r="G59" s="1" t="s">
        <v>14</v>
      </c>
      <c r="H59" s="1"/>
      <c r="I59" s="1"/>
      <c r="K59" s="16" t="s">
        <v>907</v>
      </c>
    </row>
    <row r="60" spans="1:11" ht="15.75" customHeight="1" x14ac:dyDescent="0.15">
      <c r="A60" s="1" t="s">
        <v>169</v>
      </c>
      <c r="B60" s="2" t="s">
        <v>179</v>
      </c>
      <c r="C60" s="1" t="s">
        <v>180</v>
      </c>
      <c r="D60" s="1" t="str">
        <f t="shared" si="3"/>
        <v>Feeling therm: Muslims</v>
      </c>
      <c r="E60" s="1" t="s">
        <v>42</v>
      </c>
      <c r="F60" s="1" t="s">
        <v>14</v>
      </c>
      <c r="G60" s="1" t="s">
        <v>14</v>
      </c>
      <c r="H60" s="1"/>
      <c r="I60" s="1"/>
      <c r="K60" s="16" t="s">
        <v>907</v>
      </c>
    </row>
    <row r="61" spans="1:11" ht="15.75" customHeight="1" x14ac:dyDescent="0.15">
      <c r="A61" s="1" t="s">
        <v>169</v>
      </c>
      <c r="B61" s="2" t="s">
        <v>181</v>
      </c>
      <c r="C61" s="1" t="s">
        <v>182</v>
      </c>
      <c r="D61" s="1" t="str">
        <f t="shared" si="3"/>
        <v>Feeling therm: Illegal Immigrants</v>
      </c>
      <c r="E61" s="1" t="s">
        <v>42</v>
      </c>
      <c r="F61" s="1" t="s">
        <v>14</v>
      </c>
      <c r="G61" s="1" t="s">
        <v>14</v>
      </c>
      <c r="H61" s="1"/>
      <c r="I61" s="1"/>
      <c r="K61" s="16" t="s">
        <v>907</v>
      </c>
    </row>
    <row r="62" spans="1:11" ht="15.75" customHeight="1" x14ac:dyDescent="0.15">
      <c r="A62" s="1" t="s">
        <v>169</v>
      </c>
      <c r="B62" s="2" t="s">
        <v>183</v>
      </c>
      <c r="C62" s="1" t="s">
        <v>184</v>
      </c>
      <c r="D62" s="1" t="str">
        <f t="shared" si="3"/>
        <v>Feeling therm: The Black Lives Matter movement</v>
      </c>
      <c r="E62" s="1" t="s">
        <v>172</v>
      </c>
      <c r="F62" s="1" t="s">
        <v>172</v>
      </c>
      <c r="G62" s="1" t="s">
        <v>20</v>
      </c>
      <c r="H62" s="1"/>
      <c r="I62" s="1">
        <v>1</v>
      </c>
      <c r="K62" s="16" t="s">
        <v>907</v>
      </c>
    </row>
    <row r="63" spans="1:11" ht="15.75" customHeight="1" x14ac:dyDescent="0.15">
      <c r="A63" s="1" t="s">
        <v>185</v>
      </c>
      <c r="B63" s="2" t="s">
        <v>186</v>
      </c>
      <c r="C63" s="1" t="s">
        <v>187</v>
      </c>
      <c r="D63" s="1" t="str">
        <f t="shared" si="3"/>
        <v>Feeling therm: President Donald Trump</v>
      </c>
      <c r="E63" s="1" t="s">
        <v>135</v>
      </c>
      <c r="F63" s="1" t="s">
        <v>136</v>
      </c>
      <c r="G63" s="1" t="s">
        <v>15</v>
      </c>
      <c r="H63" s="1"/>
      <c r="I63" s="1"/>
      <c r="J63" s="19" t="s">
        <v>94</v>
      </c>
      <c r="K63" s="16" t="s">
        <v>907</v>
      </c>
    </row>
    <row r="64" spans="1:11" ht="15.75" customHeight="1" x14ac:dyDescent="0.15">
      <c r="A64" s="1" t="s">
        <v>185</v>
      </c>
      <c r="B64" s="2" t="s">
        <v>188</v>
      </c>
      <c r="C64" s="1" t="s">
        <v>189</v>
      </c>
      <c r="D64" s="1" t="str">
        <f t="shared" si="3"/>
        <v>Feeling therm: Former Vice President Joe Biden</v>
      </c>
      <c r="E64" s="1" t="s">
        <v>135</v>
      </c>
      <c r="F64" s="1" t="s">
        <v>190</v>
      </c>
      <c r="G64" s="1" t="s">
        <v>20</v>
      </c>
      <c r="H64" s="1"/>
      <c r="I64" s="1"/>
      <c r="K64" s="16" t="s">
        <v>907</v>
      </c>
    </row>
    <row r="65" spans="1:11" ht="15.75" customHeight="1" x14ac:dyDescent="0.15">
      <c r="A65" s="1" t="s">
        <v>185</v>
      </c>
      <c r="B65" s="2" t="s">
        <v>191</v>
      </c>
      <c r="C65" s="1" t="s">
        <v>192</v>
      </c>
      <c r="D65" s="1" t="str">
        <f t="shared" si="3"/>
        <v>Feeling therm: Democratic party voters</v>
      </c>
      <c r="E65" s="1" t="s">
        <v>38</v>
      </c>
      <c r="F65" s="1" t="s">
        <v>126</v>
      </c>
      <c r="G65" s="1" t="s">
        <v>20</v>
      </c>
      <c r="H65" s="1"/>
      <c r="I65" s="1"/>
      <c r="K65" s="16" t="s">
        <v>907</v>
      </c>
    </row>
    <row r="66" spans="1:11" ht="28" x14ac:dyDescent="0.15">
      <c r="A66" s="1" t="s">
        <v>185</v>
      </c>
      <c r="B66" s="2" t="s">
        <v>193</v>
      </c>
      <c r="C66" s="1" t="s">
        <v>194</v>
      </c>
      <c r="D66" s="1" t="str">
        <f t="shared" si="3"/>
        <v>Feeling therm: Republican party voters</v>
      </c>
      <c r="E66" s="1" t="s">
        <v>38</v>
      </c>
      <c r="F66" s="1" t="s">
        <v>195</v>
      </c>
      <c r="G66" s="1" t="s">
        <v>15</v>
      </c>
      <c r="H66" s="1"/>
      <c r="I66" s="1"/>
      <c r="K66" s="16" t="s">
        <v>907</v>
      </c>
    </row>
    <row r="67" spans="1:11" ht="28" x14ac:dyDescent="0.15">
      <c r="A67" s="1" t="s">
        <v>185</v>
      </c>
      <c r="B67" s="2" t="s">
        <v>196</v>
      </c>
      <c r="C67" s="1" t="s">
        <v>197</v>
      </c>
      <c r="D67" s="1" t="str">
        <f t="shared" si="3"/>
        <v>Feeling therm: Democratic party candidates and elected officials</v>
      </c>
      <c r="E67" s="1" t="s">
        <v>135</v>
      </c>
      <c r="F67" s="1" t="s">
        <v>198</v>
      </c>
      <c r="G67" s="1" t="s">
        <v>20</v>
      </c>
      <c r="H67" s="1"/>
      <c r="I67" s="1"/>
      <c r="K67" s="16" t="s">
        <v>907</v>
      </c>
    </row>
    <row r="68" spans="1:11" ht="28" x14ac:dyDescent="0.15">
      <c r="A68" s="1" t="s">
        <v>185</v>
      </c>
      <c r="B68" s="2" t="s">
        <v>199</v>
      </c>
      <c r="C68" s="1" t="s">
        <v>200</v>
      </c>
      <c r="D68" s="1" t="str">
        <f t="shared" si="3"/>
        <v>Feeling therm: Republican party candidates and elected officials</v>
      </c>
      <c r="E68" s="1" t="s">
        <v>135</v>
      </c>
      <c r="F68" s="1" t="s">
        <v>198</v>
      </c>
      <c r="G68" s="1" t="s">
        <v>15</v>
      </c>
      <c r="H68" s="1"/>
      <c r="I68" s="1"/>
      <c r="J68" s="19" t="s">
        <v>94</v>
      </c>
      <c r="K68" s="16" t="s">
        <v>907</v>
      </c>
    </row>
    <row r="69" spans="1:11" ht="14" x14ac:dyDescent="0.15">
      <c r="A69" s="1" t="s">
        <v>201</v>
      </c>
      <c r="B69" s="2" t="s">
        <v>202</v>
      </c>
      <c r="C69" s="1" t="s">
        <v>203</v>
      </c>
      <c r="D69" s="1" t="str">
        <f t="shared" si="3"/>
        <v>Feeling therm: Journalists</v>
      </c>
      <c r="E69" s="1" t="s">
        <v>85</v>
      </c>
      <c r="F69" s="1" t="s">
        <v>86</v>
      </c>
      <c r="G69" s="1" t="s">
        <v>20</v>
      </c>
      <c r="H69" s="1"/>
      <c r="I69" s="1"/>
      <c r="K69" s="16" t="s">
        <v>907</v>
      </c>
    </row>
    <row r="70" spans="1:11" ht="14" x14ac:dyDescent="0.15">
      <c r="A70" s="1" t="s">
        <v>201</v>
      </c>
      <c r="B70" s="2" t="s">
        <v>10</v>
      </c>
      <c r="C70" s="1" t="s">
        <v>204</v>
      </c>
      <c r="D70" s="1" t="str">
        <f t="shared" si="3"/>
        <v>Feeling therm: Fox News</v>
      </c>
      <c r="E70" s="1" t="s">
        <v>85</v>
      </c>
      <c r="F70" s="1" t="s">
        <v>89</v>
      </c>
      <c r="G70" s="1" t="s">
        <v>15</v>
      </c>
      <c r="H70" s="1"/>
      <c r="I70" s="1"/>
      <c r="K70" s="16" t="s">
        <v>907</v>
      </c>
    </row>
    <row r="71" spans="1:11" ht="14" x14ac:dyDescent="0.15">
      <c r="A71" s="1" t="s">
        <v>201</v>
      </c>
      <c r="B71" s="2" t="s">
        <v>17</v>
      </c>
      <c r="C71" s="1" t="s">
        <v>205</v>
      </c>
      <c r="D71" s="1" t="str">
        <f t="shared" si="3"/>
        <v>Feeling therm: CNN</v>
      </c>
      <c r="E71" s="1" t="s">
        <v>85</v>
      </c>
      <c r="F71" s="1" t="s">
        <v>94</v>
      </c>
      <c r="G71" s="1" t="s">
        <v>20</v>
      </c>
      <c r="H71" s="1"/>
      <c r="I71" s="1"/>
      <c r="K71" s="16" t="s">
        <v>907</v>
      </c>
    </row>
    <row r="72" spans="1:11" ht="14" x14ac:dyDescent="0.15">
      <c r="A72" s="1" t="s">
        <v>201</v>
      </c>
      <c r="B72" s="2" t="s">
        <v>206</v>
      </c>
      <c r="C72" s="1" t="s">
        <v>207</v>
      </c>
      <c r="D72" s="1" t="str">
        <f t="shared" si="3"/>
        <v>Feeling therm: New York Times</v>
      </c>
      <c r="E72" s="1" t="s">
        <v>85</v>
      </c>
      <c r="F72" s="1" t="s">
        <v>14</v>
      </c>
      <c r="G72" s="1" t="s">
        <v>14</v>
      </c>
      <c r="H72" s="1"/>
      <c r="I72" s="1"/>
      <c r="K72" s="16" t="s">
        <v>907</v>
      </c>
    </row>
    <row r="73" spans="1:11" ht="28" x14ac:dyDescent="0.15">
      <c r="A73" s="1" t="s">
        <v>208</v>
      </c>
      <c r="B73" s="2" t="s">
        <v>209</v>
      </c>
      <c r="C73" s="1" t="s">
        <v>210</v>
      </c>
      <c r="D73" s="1" t="str">
        <f t="shared" ref="D73:D96" si="4">B73</f>
        <v>States should allow voters to vote by mail in the 2020 election.</v>
      </c>
      <c r="E73" s="1" t="s">
        <v>211</v>
      </c>
      <c r="F73" s="1" t="s">
        <v>212</v>
      </c>
      <c r="G73" s="1" t="s">
        <v>20</v>
      </c>
      <c r="H73" s="1"/>
      <c r="I73" s="1"/>
      <c r="J73" s="21" t="s">
        <v>1149</v>
      </c>
      <c r="K73" s="1" t="s">
        <v>1431</v>
      </c>
    </row>
    <row r="74" spans="1:11" ht="28" x14ac:dyDescent="0.15">
      <c r="A74" s="1" t="s">
        <v>208</v>
      </c>
      <c r="B74" s="2" t="s">
        <v>213</v>
      </c>
      <c r="C74" s="1" t="s">
        <v>214</v>
      </c>
      <c r="D74" s="1" t="str">
        <f t="shared" si="4"/>
        <v>Schools should be open for in-person classes right now.</v>
      </c>
      <c r="E74" s="1" t="s">
        <v>215</v>
      </c>
      <c r="F74" s="1" t="s">
        <v>215</v>
      </c>
      <c r="G74" s="1" t="s">
        <v>15</v>
      </c>
      <c r="H74" s="1"/>
      <c r="I74" s="1"/>
      <c r="K74" s="1" t="s">
        <v>1431</v>
      </c>
    </row>
    <row r="75" spans="1:11" ht="84" x14ac:dyDescent="0.15">
      <c r="A75" s="1" t="s">
        <v>208</v>
      </c>
      <c r="B75" s="2" t="s">
        <v>216</v>
      </c>
      <c r="C75" s="1" t="s">
        <v>217</v>
      </c>
      <c r="D75" s="1" t="str">
        <f t="shared" si="4"/>
        <v>Any remaining coronavirus restrictions on businesses such as restaurants, bars, and movie theaters should be removed; the rules for these businesses should all go back to normal.</v>
      </c>
      <c r="E75" s="1" t="s">
        <v>215</v>
      </c>
      <c r="F75" s="1" t="s">
        <v>215</v>
      </c>
      <c r="G75" s="1" t="s">
        <v>15</v>
      </c>
      <c r="H75" s="1"/>
      <c r="I75" s="1"/>
      <c r="K75" s="1" t="s">
        <v>1431</v>
      </c>
    </row>
    <row r="76" spans="1:11" ht="70" x14ac:dyDescent="0.15">
      <c r="A76" s="1" t="s">
        <v>208</v>
      </c>
      <c r="B76" s="2" t="s">
        <v>218</v>
      </c>
      <c r="C76" s="1" t="s">
        <v>219</v>
      </c>
      <c r="D76" s="1" t="str">
        <f t="shared" si="4"/>
        <v>The government should refuse to do business with companies that teach their employees that America is a racist and sexist country.</v>
      </c>
      <c r="E76" s="1" t="s">
        <v>211</v>
      </c>
      <c r="F76" s="1" t="s">
        <v>212</v>
      </c>
      <c r="G76" s="1" t="s">
        <v>15</v>
      </c>
      <c r="H76" s="1"/>
      <c r="I76" s="1"/>
      <c r="J76" s="19" t="s">
        <v>89</v>
      </c>
      <c r="K76" s="1" t="s">
        <v>1431</v>
      </c>
    </row>
    <row r="77" spans="1:11" ht="42" x14ac:dyDescent="0.15">
      <c r="A77" s="1" t="s">
        <v>208</v>
      </c>
      <c r="B77" s="2" t="s">
        <v>220</v>
      </c>
      <c r="C77" s="1" t="s">
        <v>221</v>
      </c>
      <c r="D77" s="1" t="str">
        <f t="shared" si="4"/>
        <v>Congress should do more to address global warming (also known as climate change).</v>
      </c>
      <c r="E77" s="1" t="s">
        <v>211</v>
      </c>
      <c r="F77" s="1" t="s">
        <v>212</v>
      </c>
      <c r="G77" s="1" t="s">
        <v>20</v>
      </c>
      <c r="H77" s="1"/>
      <c r="I77" s="1"/>
      <c r="K77" s="1" t="s">
        <v>1431</v>
      </c>
    </row>
    <row r="78" spans="1:11" ht="42" x14ac:dyDescent="0.15">
      <c r="A78" s="1" t="s">
        <v>208</v>
      </c>
      <c r="B78" s="2" t="s">
        <v>222</v>
      </c>
      <c r="C78" s="1" t="s">
        <v>223</v>
      </c>
      <c r="D78" s="1" t="str">
        <f t="shared" si="4"/>
        <v>Police should use force against protestors who refuse to comply with police orders.</v>
      </c>
      <c r="E78" s="1" t="s">
        <v>211</v>
      </c>
      <c r="F78" s="1" t="s">
        <v>212</v>
      </c>
      <c r="G78" s="1" t="s">
        <v>15</v>
      </c>
      <c r="H78" s="1"/>
      <c r="I78" s="1"/>
      <c r="K78" s="1" t="s">
        <v>1431</v>
      </c>
    </row>
    <row r="79" spans="1:11" ht="42" x14ac:dyDescent="0.15">
      <c r="A79" s="1" t="s">
        <v>208</v>
      </c>
      <c r="B79" s="2" t="s">
        <v>224</v>
      </c>
      <c r="C79" s="1" t="s">
        <v>225</v>
      </c>
      <c r="D79" s="1" t="str">
        <f t="shared" si="4"/>
        <v>Immigrants today strengthen our country because of their hard work and talents.</v>
      </c>
      <c r="E79" s="1" t="s">
        <v>211</v>
      </c>
      <c r="F79" s="1" t="s">
        <v>226</v>
      </c>
      <c r="G79" s="1" t="s">
        <v>20</v>
      </c>
      <c r="H79" s="1"/>
      <c r="I79" s="1"/>
      <c r="K79" s="1" t="s">
        <v>1431</v>
      </c>
    </row>
    <row r="80" spans="1:11" ht="28" x14ac:dyDescent="0.15">
      <c r="A80" s="1" t="s">
        <v>208</v>
      </c>
      <c r="B80" s="2" t="s">
        <v>227</v>
      </c>
      <c r="C80" s="1" t="s">
        <v>228</v>
      </c>
      <c r="D80" s="1" t="str">
        <f t="shared" si="4"/>
        <v>Government is almost always wasteful and inefficient.</v>
      </c>
      <c r="E80" s="1" t="s">
        <v>211</v>
      </c>
      <c r="F80" s="1" t="s">
        <v>226</v>
      </c>
      <c r="G80" s="1" t="s">
        <v>15</v>
      </c>
      <c r="H80" s="1"/>
      <c r="I80" s="1"/>
      <c r="K80" s="1" t="s">
        <v>1431</v>
      </c>
    </row>
    <row r="81" spans="1:11" ht="28" x14ac:dyDescent="0.15">
      <c r="A81" s="1" t="s">
        <v>208</v>
      </c>
      <c r="B81" s="2" t="s">
        <v>229</v>
      </c>
      <c r="C81" s="1" t="s">
        <v>230</v>
      </c>
      <c r="D81" s="1" t="str">
        <f t="shared" si="4"/>
        <v>The government should do much more to help the needy.</v>
      </c>
      <c r="E81" s="1" t="s">
        <v>211</v>
      </c>
      <c r="F81" s="1" t="s">
        <v>226</v>
      </c>
      <c r="G81" s="1" t="s">
        <v>20</v>
      </c>
      <c r="H81" s="1"/>
      <c r="I81" s="1"/>
      <c r="K81" s="1" t="s">
        <v>1431</v>
      </c>
    </row>
    <row r="82" spans="1:11" ht="42" x14ac:dyDescent="0.15">
      <c r="A82" s="1" t="s">
        <v>208</v>
      </c>
      <c r="B82" s="2" t="s">
        <v>231</v>
      </c>
      <c r="C82" s="1" t="s">
        <v>232</v>
      </c>
      <c r="D82" s="1" t="str">
        <f t="shared" si="4"/>
        <v>Free trade agreements between the US and other countries have been a good thing.</v>
      </c>
      <c r="E82" s="1" t="s">
        <v>211</v>
      </c>
      <c r="F82" s="1" t="s">
        <v>226</v>
      </c>
      <c r="G82" s="1" t="s">
        <v>20</v>
      </c>
      <c r="H82" s="1"/>
      <c r="I82" s="1"/>
      <c r="K82" s="1" t="s">
        <v>1431</v>
      </c>
    </row>
    <row r="83" spans="1:11" ht="70" x14ac:dyDescent="0.15">
      <c r="A83" s="1" t="s">
        <v>233</v>
      </c>
      <c r="B83" s="2" t="s">
        <v>234</v>
      </c>
      <c r="C83" s="1" t="s">
        <v>235</v>
      </c>
      <c r="D83" s="1" t="str">
        <f t="shared" si="4"/>
        <v>The government could have done more early this year to stop the coronavirus from ever spreading so widely in the United States.</v>
      </c>
      <c r="E83" s="1" t="s">
        <v>215</v>
      </c>
      <c r="F83" s="1" t="s">
        <v>215</v>
      </c>
      <c r="G83" s="1" t="s">
        <v>20</v>
      </c>
      <c r="H83" s="1"/>
      <c r="I83" s="1"/>
      <c r="K83" s="1" t="s">
        <v>1431</v>
      </c>
    </row>
    <row r="84" spans="1:11" ht="70" x14ac:dyDescent="0.15">
      <c r="A84" s="1" t="s">
        <v>233</v>
      </c>
      <c r="B84" s="2" t="s">
        <v>236</v>
      </c>
      <c r="C84" s="1" t="s">
        <v>237</v>
      </c>
      <c r="D84" s="1" t="str">
        <f t="shared" si="4"/>
        <v>The sickness and death the coronavirus pandemic has caused in America is one of the greatest tragedies in American history.</v>
      </c>
      <c r="E84" s="1" t="s">
        <v>215</v>
      </c>
      <c r="F84" s="1" t="s">
        <v>215</v>
      </c>
      <c r="G84" s="1" t="s">
        <v>20</v>
      </c>
      <c r="H84" s="1"/>
      <c r="I84" s="1"/>
      <c r="K84" s="1" t="s">
        <v>1431</v>
      </c>
    </row>
    <row r="85" spans="1:11" ht="42" x14ac:dyDescent="0.15">
      <c r="A85" s="1" t="s">
        <v>233</v>
      </c>
      <c r="B85" s="2" t="s">
        <v>238</v>
      </c>
      <c r="C85" s="1" t="s">
        <v>239</v>
      </c>
      <c r="D85" s="1" t="str">
        <f t="shared" si="4"/>
        <v>The number of Americans with coronavirus has been falling quickly.</v>
      </c>
      <c r="E85" s="1" t="s">
        <v>215</v>
      </c>
      <c r="F85" s="1" t="s">
        <v>215</v>
      </c>
      <c r="G85" s="1" t="s">
        <v>15</v>
      </c>
      <c r="H85" s="1"/>
      <c r="I85" s="1"/>
      <c r="K85" s="1" t="s">
        <v>1431</v>
      </c>
    </row>
    <row r="86" spans="1:11" ht="42" x14ac:dyDescent="0.15">
      <c r="A86" s="1" t="s">
        <v>233</v>
      </c>
      <c r="B86" s="2" t="s">
        <v>240</v>
      </c>
      <c r="C86" s="1" t="s">
        <v>241</v>
      </c>
      <c r="D86" s="1" t="str">
        <f t="shared" si="4"/>
        <v>The government should be doing more to stop the spread of coronavirus.</v>
      </c>
      <c r="E86" s="1" t="s">
        <v>215</v>
      </c>
      <c r="F86" s="1" t="s">
        <v>215</v>
      </c>
      <c r="G86" s="1" t="s">
        <v>20</v>
      </c>
      <c r="H86" s="1"/>
      <c r="I86" s="1"/>
      <c r="K86" s="1" t="s">
        <v>1431</v>
      </c>
    </row>
    <row r="87" spans="1:11" ht="56" x14ac:dyDescent="0.15">
      <c r="A87" s="1" t="s">
        <v>233</v>
      </c>
      <c r="B87" s="2" t="s">
        <v>242</v>
      </c>
      <c r="C87" s="1" t="s">
        <v>243</v>
      </c>
      <c r="D87" s="1" t="str">
        <f t="shared" si="4"/>
        <v>Many other countries have done a much better job of controlling the coronavirus than the United States government.</v>
      </c>
      <c r="E87" s="1" t="s">
        <v>215</v>
      </c>
      <c r="F87" s="1" t="s">
        <v>215</v>
      </c>
      <c r="G87" s="1" t="s">
        <v>20</v>
      </c>
      <c r="H87" s="1"/>
      <c r="I87" s="1"/>
      <c r="J87" s="19" t="s">
        <v>1147</v>
      </c>
      <c r="K87" s="1" t="s">
        <v>1431</v>
      </c>
    </row>
    <row r="88" spans="1:11" ht="42" x14ac:dyDescent="0.15">
      <c r="A88" s="1" t="s">
        <v>233</v>
      </c>
      <c r="B88" s="2" t="s">
        <v>244</v>
      </c>
      <c r="C88" s="1" t="s">
        <v>245</v>
      </c>
      <c r="D88" s="1" t="str">
        <f t="shared" si="4"/>
        <v>The coronavirus is not as dangerous as many people seem to think.</v>
      </c>
      <c r="E88" s="1" t="s">
        <v>215</v>
      </c>
      <c r="F88" s="1" t="s">
        <v>215</v>
      </c>
      <c r="G88" s="1" t="s">
        <v>15</v>
      </c>
      <c r="H88" s="1"/>
      <c r="I88" s="1"/>
      <c r="K88" s="1" t="s">
        <v>1431</v>
      </c>
    </row>
    <row r="89" spans="1:11" ht="70" x14ac:dyDescent="0.15">
      <c r="A89" s="1" t="s">
        <v>233</v>
      </c>
      <c r="B89" s="2" t="s">
        <v>246</v>
      </c>
      <c r="C89" s="1" t="s">
        <v>247</v>
      </c>
      <c r="D89" s="1" t="str">
        <f t="shared" si="4"/>
        <v>The coronavirus causes many people to experience serious long-term health problems that stay with them for months or longer.</v>
      </c>
      <c r="E89" s="1" t="s">
        <v>215</v>
      </c>
      <c r="F89" s="1" t="s">
        <v>215</v>
      </c>
      <c r="G89" s="1" t="s">
        <v>20</v>
      </c>
      <c r="H89" s="1"/>
      <c r="I89" s="1"/>
      <c r="J89" s="19" t="s">
        <v>1147</v>
      </c>
      <c r="K89" s="1" t="s">
        <v>1431</v>
      </c>
    </row>
    <row r="90" spans="1:11" ht="42" x14ac:dyDescent="0.15">
      <c r="A90" s="1" t="s">
        <v>233</v>
      </c>
      <c r="B90" s="2" t="s">
        <v>248</v>
      </c>
      <c r="C90" s="1" t="s">
        <v>249</v>
      </c>
      <c r="D90" s="1" t="str">
        <f t="shared" si="4"/>
        <v>Donald Trump should probably take the coronavirus pandemic more seriously.</v>
      </c>
      <c r="E90" s="1" t="s">
        <v>215</v>
      </c>
      <c r="F90" s="1" t="s">
        <v>215</v>
      </c>
      <c r="G90" s="1" t="s">
        <v>20</v>
      </c>
      <c r="H90" s="1"/>
      <c r="I90" s="1"/>
      <c r="K90" s="1" t="s">
        <v>1431</v>
      </c>
    </row>
    <row r="91" spans="1:11" ht="28" x14ac:dyDescent="0.15">
      <c r="A91" s="1" t="s">
        <v>233</v>
      </c>
      <c r="B91" s="2" t="s">
        <v>250</v>
      </c>
      <c r="C91" s="1" t="s">
        <v>251</v>
      </c>
      <c r="D91" s="1" t="str">
        <f t="shared" si="4"/>
        <v>Everyone in a grocery store should wear a mask.</v>
      </c>
      <c r="E91" s="1" t="s">
        <v>215</v>
      </c>
      <c r="F91" s="1" t="s">
        <v>215</v>
      </c>
      <c r="G91" s="1" t="s">
        <v>20</v>
      </c>
      <c r="H91" s="1"/>
      <c r="I91" s="1"/>
      <c r="K91" s="1" t="s">
        <v>1431</v>
      </c>
    </row>
    <row r="92" spans="1:11" ht="56" x14ac:dyDescent="0.15">
      <c r="A92" s="1" t="s">
        <v>233</v>
      </c>
      <c r="B92" s="2" t="s">
        <v>252</v>
      </c>
      <c r="C92" s="1" t="s">
        <v>253</v>
      </c>
      <c r="D92" s="1" t="str">
        <f t="shared" si="4"/>
        <v>Because of the risk of spreading coronavirus, Donald Trump and Joe Biden should not be holding campaign rallies.</v>
      </c>
      <c r="E92" s="1" t="s">
        <v>215</v>
      </c>
      <c r="F92" s="1" t="s">
        <v>215</v>
      </c>
      <c r="G92" s="1" t="s">
        <v>20</v>
      </c>
      <c r="H92" s="1"/>
      <c r="I92" s="1"/>
      <c r="K92" s="1" t="s">
        <v>1431</v>
      </c>
    </row>
    <row r="93" spans="1:11" ht="42" x14ac:dyDescent="0.15">
      <c r="A93" s="1" t="s">
        <v>233</v>
      </c>
      <c r="B93" s="2" t="s">
        <v>254</v>
      </c>
      <c r="C93" s="1" t="s">
        <v>255</v>
      </c>
      <c r="D93" s="1" t="str">
        <f t="shared" si="4"/>
        <v>The coronavirus is still infecting huge numbers of Americans every day.</v>
      </c>
      <c r="E93" s="1" t="s">
        <v>215</v>
      </c>
      <c r="F93" s="1" t="s">
        <v>215</v>
      </c>
      <c r="G93" s="1" t="s">
        <v>20</v>
      </c>
      <c r="H93" s="1"/>
      <c r="I93" s="1"/>
      <c r="K93" s="1" t="s">
        <v>1431</v>
      </c>
    </row>
    <row r="94" spans="1:11" ht="14" x14ac:dyDescent="0.15">
      <c r="A94" s="1" t="s">
        <v>233</v>
      </c>
      <c r="B94" s="2" t="s">
        <v>256</v>
      </c>
      <c r="C94" s="1" t="s">
        <v>257</v>
      </c>
      <c r="D94" s="1" t="str">
        <f t="shared" si="4"/>
        <v>Wearing a mask is useless.</v>
      </c>
      <c r="E94" s="1" t="s">
        <v>215</v>
      </c>
      <c r="F94" s="1" t="s">
        <v>215</v>
      </c>
      <c r="G94" s="1" t="s">
        <v>15</v>
      </c>
      <c r="H94" s="1"/>
      <c r="I94" s="1"/>
      <c r="K94" s="1" t="s">
        <v>1431</v>
      </c>
    </row>
    <row r="95" spans="1:11" ht="42" x14ac:dyDescent="0.15">
      <c r="A95" s="1" t="s">
        <v>233</v>
      </c>
      <c r="B95" s="2" t="s">
        <v>258</v>
      </c>
      <c r="C95" s="1" t="s">
        <v>259</v>
      </c>
      <c r="D95" s="1" t="str">
        <f t="shared" si="4"/>
        <v>I’m concerned that people I care about are going to catch the coronavirus.</v>
      </c>
      <c r="E95" s="1" t="s">
        <v>215</v>
      </c>
      <c r="F95" s="1" t="s">
        <v>215</v>
      </c>
      <c r="G95" s="1" t="s">
        <v>20</v>
      </c>
      <c r="H95" s="1"/>
      <c r="I95" s="1"/>
      <c r="K95" s="1" t="s">
        <v>1431</v>
      </c>
    </row>
    <row r="96" spans="1:11" ht="70" x14ac:dyDescent="0.15">
      <c r="A96" s="1" t="s">
        <v>233</v>
      </c>
      <c r="B96" s="2" t="s">
        <v>260</v>
      </c>
      <c r="C96" s="1" t="s">
        <v>261</v>
      </c>
      <c r="D96" s="1" t="str">
        <f t="shared" si="4"/>
        <v>I’m concerned that Donald Trump will order the government to approve a coronavirus vaccine before scientists are sure that it’s safe and that it works.</v>
      </c>
      <c r="E96" s="1" t="s">
        <v>215</v>
      </c>
      <c r="F96" s="1" t="s">
        <v>215</v>
      </c>
      <c r="G96" s="1" t="s">
        <v>20</v>
      </c>
      <c r="H96" s="1"/>
      <c r="I96" s="1"/>
      <c r="K96" s="1" t="s">
        <v>1431</v>
      </c>
    </row>
    <row r="97" spans="1:11" ht="56" x14ac:dyDescent="0.15">
      <c r="A97" s="1" t="s">
        <v>262</v>
      </c>
      <c r="B97" s="1"/>
      <c r="C97" s="1" t="s">
        <v>263</v>
      </c>
      <c r="D97" s="1" t="s">
        <v>264</v>
      </c>
      <c r="E97" s="1" t="s">
        <v>135</v>
      </c>
      <c r="F97" s="1" t="s">
        <v>265</v>
      </c>
      <c r="G97" s="1" t="s">
        <v>266</v>
      </c>
      <c r="H97" s="1" t="s">
        <v>267</v>
      </c>
      <c r="I97" s="1"/>
      <c r="K97" s="1" t="s">
        <v>1434</v>
      </c>
    </row>
    <row r="98" spans="1:11" ht="84" x14ac:dyDescent="0.15">
      <c r="A98" s="1" t="s">
        <v>268</v>
      </c>
      <c r="B98" s="2" t="s">
        <v>269</v>
      </c>
      <c r="C98" s="1" t="s">
        <v>270</v>
      </c>
      <c r="D98" s="1" t="str">
        <f>_xlfn.CONCAT("Racial resentment: ", B98)</f>
        <v>Racial resentment: Irish, Italian, Jewish and many other minorities overcame prejudice and worked their way up. Blacks should do the same without any special favors.</v>
      </c>
      <c r="E98" s="1" t="s">
        <v>172</v>
      </c>
      <c r="F98" s="1" t="s">
        <v>172</v>
      </c>
      <c r="G98" s="1" t="s">
        <v>15</v>
      </c>
      <c r="H98" s="1"/>
      <c r="I98" s="1"/>
      <c r="K98" s="1" t="s">
        <v>1431</v>
      </c>
    </row>
    <row r="99" spans="1:11" ht="42" x14ac:dyDescent="0.15">
      <c r="A99" s="1" t="s">
        <v>268</v>
      </c>
      <c r="B99" s="2" t="s">
        <v>271</v>
      </c>
      <c r="C99" s="1" t="s">
        <v>272</v>
      </c>
      <c r="D99" s="1" t="str">
        <f>_xlfn.CONCAT("Racial resentment: ", B99)</f>
        <v>Racial resentment: Over the past few years, blacks have gotten less than they deserve.</v>
      </c>
      <c r="E99" s="1" t="s">
        <v>172</v>
      </c>
      <c r="F99" s="1" t="s">
        <v>172</v>
      </c>
      <c r="G99" s="1" t="s">
        <v>20</v>
      </c>
      <c r="H99" s="1"/>
      <c r="I99" s="1"/>
      <c r="K99" s="1" t="s">
        <v>1431</v>
      </c>
    </row>
    <row r="100" spans="1:11" ht="70" x14ac:dyDescent="0.15">
      <c r="A100" s="1" t="s">
        <v>268</v>
      </c>
      <c r="B100" s="2" t="s">
        <v>273</v>
      </c>
      <c r="C100" s="1" t="s">
        <v>274</v>
      </c>
      <c r="D100" s="1" t="str">
        <f>_xlfn.CONCAT("Racial resentment: ", B100)</f>
        <v>Racial resentment: It’s really a matter of some people not trying hard enough; if blacks would only try harder they could be just as well off as whites.</v>
      </c>
      <c r="E100" s="1" t="s">
        <v>172</v>
      </c>
      <c r="F100" s="1" t="s">
        <v>172</v>
      </c>
      <c r="G100" s="1" t="s">
        <v>15</v>
      </c>
      <c r="H100" s="1"/>
      <c r="I100" s="1"/>
      <c r="K100" s="1" t="s">
        <v>1431</v>
      </c>
    </row>
    <row r="101" spans="1:11" ht="56" x14ac:dyDescent="0.15">
      <c r="A101" s="1" t="s">
        <v>268</v>
      </c>
      <c r="B101" s="2" t="s">
        <v>275</v>
      </c>
      <c r="C101" s="1" t="s">
        <v>276</v>
      </c>
      <c r="D101" s="1" t="str">
        <f>_xlfn.CONCAT("Color-blind racial attitudes: ", B101)</f>
        <v>Color-blind racial attitudes: White people in the US have certain advantages because of the color of their skin.</v>
      </c>
      <c r="E101" s="1" t="s">
        <v>172</v>
      </c>
      <c r="F101" s="1" t="s">
        <v>172</v>
      </c>
      <c r="G101" s="1" t="s">
        <v>20</v>
      </c>
      <c r="H101" s="1"/>
      <c r="I101" s="1"/>
      <c r="K101" s="1" t="s">
        <v>1431</v>
      </c>
    </row>
    <row r="102" spans="1:11" ht="42" x14ac:dyDescent="0.15">
      <c r="A102" s="1" t="s">
        <v>268</v>
      </c>
      <c r="B102" s="2" t="s">
        <v>277</v>
      </c>
      <c r="C102" s="1" t="s">
        <v>278</v>
      </c>
      <c r="D102" s="1" t="str">
        <f>_xlfn.CONCAT("Color-blind racial attitudes: ", B102)</f>
        <v>Color-blind racial attitudes: Racial problems in the US are rare, isolated situations.</v>
      </c>
      <c r="E102" s="1" t="s">
        <v>172</v>
      </c>
      <c r="F102" s="1" t="s">
        <v>172</v>
      </c>
      <c r="G102" s="1" t="s">
        <v>15</v>
      </c>
      <c r="H102" s="1"/>
      <c r="I102" s="1"/>
      <c r="K102" s="1" t="s">
        <v>1431</v>
      </c>
    </row>
    <row r="103" spans="1:11" ht="28" x14ac:dyDescent="0.15">
      <c r="A103" s="1" t="s">
        <v>279</v>
      </c>
      <c r="B103" s="2" t="s">
        <v>280</v>
      </c>
      <c r="C103" s="1" t="s">
        <v>281</v>
      </c>
      <c r="D103" s="1" t="str">
        <f t="shared" ref="D103:D109" si="5">CONCATENATE("Trait rating: Democrats ", LOWER(B103))</f>
        <v>Trait rating: Democrats patriotic</v>
      </c>
      <c r="E103" s="1" t="s">
        <v>38</v>
      </c>
      <c r="F103" s="1" t="s">
        <v>126</v>
      </c>
      <c r="G103" s="1" t="s">
        <v>20</v>
      </c>
      <c r="H103" s="1"/>
      <c r="I103" s="1"/>
      <c r="K103" s="16" t="s">
        <v>1310</v>
      </c>
    </row>
    <row r="104" spans="1:11" ht="28" x14ac:dyDescent="0.15">
      <c r="A104" s="1" t="s">
        <v>279</v>
      </c>
      <c r="B104" s="2" t="s">
        <v>282</v>
      </c>
      <c r="C104" s="1" t="s">
        <v>283</v>
      </c>
      <c r="D104" s="1" t="str">
        <f t="shared" si="5"/>
        <v>Trait rating: Democrats intelligent</v>
      </c>
      <c r="E104" s="1" t="s">
        <v>38</v>
      </c>
      <c r="F104" s="1" t="s">
        <v>126</v>
      </c>
      <c r="G104" s="1" t="s">
        <v>20</v>
      </c>
      <c r="H104" s="1"/>
      <c r="I104" s="1"/>
      <c r="K104" s="16" t="s">
        <v>1310</v>
      </c>
    </row>
    <row r="105" spans="1:11" ht="28" x14ac:dyDescent="0.15">
      <c r="A105" s="1" t="s">
        <v>279</v>
      </c>
      <c r="B105" s="2" t="s">
        <v>284</v>
      </c>
      <c r="C105" s="1" t="s">
        <v>285</v>
      </c>
      <c r="D105" s="1" t="str">
        <f t="shared" si="5"/>
        <v>Trait rating: Democrats honest</v>
      </c>
      <c r="E105" s="1" t="s">
        <v>38</v>
      </c>
      <c r="F105" s="1" t="s">
        <v>126</v>
      </c>
      <c r="G105" s="1" t="s">
        <v>20</v>
      </c>
      <c r="H105" s="1"/>
      <c r="I105" s="1"/>
      <c r="K105" s="16" t="s">
        <v>1310</v>
      </c>
    </row>
    <row r="106" spans="1:11" ht="28" x14ac:dyDescent="0.15">
      <c r="A106" s="1" t="s">
        <v>279</v>
      </c>
      <c r="B106" s="2" t="s">
        <v>286</v>
      </c>
      <c r="C106" s="1" t="s">
        <v>287</v>
      </c>
      <c r="D106" s="1" t="str">
        <f t="shared" si="5"/>
        <v>Trait rating: Democrats open-minded</v>
      </c>
      <c r="E106" s="1" t="s">
        <v>38</v>
      </c>
      <c r="F106" s="1" t="s">
        <v>126</v>
      </c>
      <c r="G106" s="1" t="s">
        <v>20</v>
      </c>
      <c r="H106" s="1"/>
      <c r="I106" s="1"/>
      <c r="K106" s="16" t="s">
        <v>1310</v>
      </c>
    </row>
    <row r="107" spans="1:11" ht="28" x14ac:dyDescent="0.15">
      <c r="A107" s="1" t="s">
        <v>279</v>
      </c>
      <c r="B107" s="2" t="s">
        <v>288</v>
      </c>
      <c r="C107" s="1" t="s">
        <v>289</v>
      </c>
      <c r="D107" s="1" t="str">
        <f t="shared" si="5"/>
        <v>Trait rating: Democrats selfish</v>
      </c>
      <c r="E107" s="1" t="s">
        <v>38</v>
      </c>
      <c r="F107" s="1" t="s">
        <v>126</v>
      </c>
      <c r="G107" s="1" t="s">
        <v>15</v>
      </c>
      <c r="H107" s="1"/>
      <c r="I107" s="1"/>
      <c r="K107" s="16" t="s">
        <v>1310</v>
      </c>
    </row>
    <row r="108" spans="1:11" ht="28" x14ac:dyDescent="0.15">
      <c r="A108" s="1" t="s">
        <v>279</v>
      </c>
      <c r="B108" s="2" t="s">
        <v>290</v>
      </c>
      <c r="C108" s="1" t="s">
        <v>291</v>
      </c>
      <c r="D108" s="1" t="str">
        <f t="shared" si="5"/>
        <v>Trait rating: Democrats mean</v>
      </c>
      <c r="E108" s="1" t="s">
        <v>38</v>
      </c>
      <c r="F108" s="1" t="s">
        <v>126</v>
      </c>
      <c r="G108" s="1" t="s">
        <v>15</v>
      </c>
      <c r="H108" s="1"/>
      <c r="I108" s="1"/>
      <c r="K108" s="16" t="s">
        <v>1310</v>
      </c>
    </row>
    <row r="109" spans="1:11" ht="28" x14ac:dyDescent="0.15">
      <c r="A109" s="1" t="s">
        <v>279</v>
      </c>
      <c r="B109" s="2" t="s">
        <v>292</v>
      </c>
      <c r="C109" s="1" t="s">
        <v>293</v>
      </c>
      <c r="D109" s="1" t="str">
        <f t="shared" si="5"/>
        <v>Trait rating: Democrats unreasonable</v>
      </c>
      <c r="E109" s="1" t="s">
        <v>38</v>
      </c>
      <c r="F109" s="1" t="s">
        <v>126</v>
      </c>
      <c r="G109" s="1" t="s">
        <v>15</v>
      </c>
      <c r="H109" s="1"/>
      <c r="I109" s="1"/>
      <c r="K109" s="16" t="s">
        <v>1310</v>
      </c>
    </row>
    <row r="110" spans="1:11" ht="28" x14ac:dyDescent="0.15">
      <c r="A110" s="1" t="s">
        <v>294</v>
      </c>
      <c r="B110" s="2" t="s">
        <v>280</v>
      </c>
      <c r="C110" s="1" t="s">
        <v>295</v>
      </c>
      <c r="D110" s="1" t="str">
        <f t="shared" ref="D110:D116" si="6">CONCATENATE("Trait rating: Republicans ", LOWER(B110))</f>
        <v>Trait rating: Republicans patriotic</v>
      </c>
      <c r="E110" s="1" t="s">
        <v>38</v>
      </c>
      <c r="F110" s="1" t="s">
        <v>195</v>
      </c>
      <c r="G110" s="1" t="s">
        <v>15</v>
      </c>
      <c r="H110" s="1"/>
      <c r="I110" s="1"/>
      <c r="K110" s="16" t="s">
        <v>1310</v>
      </c>
    </row>
    <row r="111" spans="1:11" ht="28" x14ac:dyDescent="0.15">
      <c r="A111" s="1" t="s">
        <v>294</v>
      </c>
      <c r="B111" s="2" t="s">
        <v>282</v>
      </c>
      <c r="C111" s="1" t="s">
        <v>296</v>
      </c>
      <c r="D111" s="1" t="str">
        <f t="shared" si="6"/>
        <v>Trait rating: Republicans intelligent</v>
      </c>
      <c r="E111" s="1" t="s">
        <v>38</v>
      </c>
      <c r="F111" s="1" t="s">
        <v>195</v>
      </c>
      <c r="G111" s="1" t="s">
        <v>15</v>
      </c>
      <c r="H111" s="1"/>
      <c r="I111" s="1"/>
      <c r="K111" s="16" t="s">
        <v>1310</v>
      </c>
    </row>
    <row r="112" spans="1:11" ht="28" x14ac:dyDescent="0.15">
      <c r="A112" s="1" t="s">
        <v>294</v>
      </c>
      <c r="B112" s="2" t="s">
        <v>284</v>
      </c>
      <c r="C112" s="1" t="s">
        <v>297</v>
      </c>
      <c r="D112" s="1" t="str">
        <f t="shared" si="6"/>
        <v>Trait rating: Republicans honest</v>
      </c>
      <c r="E112" s="1" t="s">
        <v>38</v>
      </c>
      <c r="F112" s="1" t="s">
        <v>195</v>
      </c>
      <c r="G112" s="1" t="s">
        <v>15</v>
      </c>
      <c r="H112" s="1"/>
      <c r="I112" s="1"/>
      <c r="K112" s="16" t="s">
        <v>1310</v>
      </c>
    </row>
    <row r="113" spans="1:11" ht="28" x14ac:dyDescent="0.15">
      <c r="A113" s="1" t="s">
        <v>294</v>
      </c>
      <c r="B113" s="2" t="s">
        <v>286</v>
      </c>
      <c r="C113" s="1" t="s">
        <v>298</v>
      </c>
      <c r="D113" s="1" t="str">
        <f t="shared" si="6"/>
        <v>Trait rating: Republicans open-minded</v>
      </c>
      <c r="E113" s="1" t="s">
        <v>38</v>
      </c>
      <c r="F113" s="1" t="s">
        <v>195</v>
      </c>
      <c r="G113" s="1" t="s">
        <v>15</v>
      </c>
      <c r="H113" s="1"/>
      <c r="I113" s="1"/>
      <c r="K113" s="16" t="s">
        <v>1310</v>
      </c>
    </row>
    <row r="114" spans="1:11" ht="28" x14ac:dyDescent="0.15">
      <c r="A114" s="1" t="s">
        <v>294</v>
      </c>
      <c r="B114" s="2" t="s">
        <v>288</v>
      </c>
      <c r="C114" s="1" t="s">
        <v>299</v>
      </c>
      <c r="D114" s="1" t="str">
        <f t="shared" si="6"/>
        <v>Trait rating: Republicans selfish</v>
      </c>
      <c r="E114" s="1" t="s">
        <v>38</v>
      </c>
      <c r="F114" s="1" t="s">
        <v>195</v>
      </c>
      <c r="G114" s="1" t="s">
        <v>20</v>
      </c>
      <c r="H114" s="1"/>
      <c r="I114" s="1"/>
      <c r="K114" s="16" t="s">
        <v>1310</v>
      </c>
    </row>
    <row r="115" spans="1:11" ht="28" x14ac:dyDescent="0.15">
      <c r="A115" s="1" t="s">
        <v>294</v>
      </c>
      <c r="B115" s="2" t="s">
        <v>290</v>
      </c>
      <c r="C115" s="1" t="s">
        <v>300</v>
      </c>
      <c r="D115" s="1" t="str">
        <f t="shared" si="6"/>
        <v>Trait rating: Republicans mean</v>
      </c>
      <c r="E115" s="1" t="s">
        <v>38</v>
      </c>
      <c r="F115" s="1" t="s">
        <v>195</v>
      </c>
      <c r="G115" s="1" t="s">
        <v>20</v>
      </c>
      <c r="H115" s="1"/>
      <c r="I115" s="1"/>
      <c r="K115" s="16" t="s">
        <v>1310</v>
      </c>
    </row>
    <row r="116" spans="1:11" ht="28" x14ac:dyDescent="0.15">
      <c r="A116" s="1" t="s">
        <v>294</v>
      </c>
      <c r="B116" s="2" t="s">
        <v>292</v>
      </c>
      <c r="C116" s="1" t="s">
        <v>301</v>
      </c>
      <c r="D116" s="1" t="str">
        <f t="shared" si="6"/>
        <v>Trait rating: Republicans unreasonable</v>
      </c>
      <c r="E116" s="1" t="s">
        <v>38</v>
      </c>
      <c r="F116" s="1" t="s">
        <v>195</v>
      </c>
      <c r="G116" s="1" t="s">
        <v>20</v>
      </c>
      <c r="H116" s="1" t="s">
        <v>302</v>
      </c>
      <c r="I116" s="1"/>
      <c r="K116" s="16" t="s">
        <v>1310</v>
      </c>
    </row>
    <row r="117" spans="1:11" ht="14" x14ac:dyDescent="0.15">
      <c r="A117" s="1" t="s">
        <v>303</v>
      </c>
      <c r="B117" s="2" t="s">
        <v>280</v>
      </c>
      <c r="C117" s="1" t="s">
        <v>304</v>
      </c>
      <c r="D117" s="1" t="str">
        <f t="shared" ref="D117:D121" si="7">CONCATENATE("Trait rating: Trump ", LOWER(B117))</f>
        <v>Trait rating: Trump patriotic</v>
      </c>
      <c r="E117" s="1" t="s">
        <v>135</v>
      </c>
      <c r="F117" s="1" t="s">
        <v>136</v>
      </c>
      <c r="G117" s="1" t="s">
        <v>15</v>
      </c>
      <c r="H117" s="1"/>
      <c r="I117" s="1"/>
      <c r="K117" s="16" t="s">
        <v>1310</v>
      </c>
    </row>
    <row r="118" spans="1:11" ht="14" x14ac:dyDescent="0.15">
      <c r="A118" s="1" t="s">
        <v>303</v>
      </c>
      <c r="B118" s="2" t="s">
        <v>282</v>
      </c>
      <c r="C118" s="1" t="s">
        <v>305</v>
      </c>
      <c r="D118" s="1" t="str">
        <f t="shared" si="7"/>
        <v>Trait rating: Trump intelligent</v>
      </c>
      <c r="E118" s="1" t="s">
        <v>135</v>
      </c>
      <c r="F118" s="1" t="s">
        <v>136</v>
      </c>
      <c r="G118" s="1" t="s">
        <v>15</v>
      </c>
      <c r="H118" s="1"/>
      <c r="I118" s="1"/>
      <c r="K118" s="16" t="s">
        <v>1310</v>
      </c>
    </row>
    <row r="119" spans="1:11" ht="14" x14ac:dyDescent="0.15">
      <c r="A119" s="1" t="s">
        <v>303</v>
      </c>
      <c r="B119" s="2" t="s">
        <v>284</v>
      </c>
      <c r="C119" s="1" t="s">
        <v>306</v>
      </c>
      <c r="D119" s="1" t="str">
        <f t="shared" si="7"/>
        <v>Trait rating: Trump honest</v>
      </c>
      <c r="E119" s="1" t="s">
        <v>135</v>
      </c>
      <c r="F119" s="1" t="s">
        <v>136</v>
      </c>
      <c r="G119" s="1" t="s">
        <v>15</v>
      </c>
      <c r="H119" s="1"/>
      <c r="I119" s="1"/>
      <c r="K119" s="16" t="s">
        <v>1310</v>
      </c>
    </row>
    <row r="120" spans="1:11" ht="14" x14ac:dyDescent="0.15">
      <c r="A120" s="1" t="s">
        <v>303</v>
      </c>
      <c r="B120" s="2" t="s">
        <v>288</v>
      </c>
      <c r="C120" s="1" t="s">
        <v>307</v>
      </c>
      <c r="D120" s="1" t="str">
        <f t="shared" si="7"/>
        <v>Trait rating: Trump selfish</v>
      </c>
      <c r="E120" s="1" t="s">
        <v>135</v>
      </c>
      <c r="F120" s="1" t="s">
        <v>136</v>
      </c>
      <c r="G120" s="1" t="s">
        <v>20</v>
      </c>
      <c r="H120" s="1"/>
      <c r="I120" s="1"/>
      <c r="J120" s="19" t="s">
        <v>94</v>
      </c>
      <c r="K120" s="16" t="s">
        <v>1310</v>
      </c>
    </row>
    <row r="121" spans="1:11" ht="14" x14ac:dyDescent="0.15">
      <c r="A121" s="1" t="s">
        <v>303</v>
      </c>
      <c r="B121" s="2" t="s">
        <v>290</v>
      </c>
      <c r="C121" s="1" t="s">
        <v>308</v>
      </c>
      <c r="D121" s="1" t="str">
        <f t="shared" si="7"/>
        <v>Trait rating: Trump mean</v>
      </c>
      <c r="E121" s="1" t="s">
        <v>135</v>
      </c>
      <c r="F121" s="1" t="s">
        <v>136</v>
      </c>
      <c r="G121" s="1" t="s">
        <v>20</v>
      </c>
      <c r="H121" s="1"/>
      <c r="I121" s="1"/>
      <c r="K121" s="16" t="s">
        <v>1310</v>
      </c>
    </row>
    <row r="122" spans="1:11" ht="14" x14ac:dyDescent="0.15">
      <c r="A122" s="1" t="s">
        <v>309</v>
      </c>
      <c r="B122" s="2" t="s">
        <v>280</v>
      </c>
      <c r="C122" s="1" t="s">
        <v>310</v>
      </c>
      <c r="D122" s="1" t="str">
        <f t="shared" ref="D122:D126" si="8">CONCATENATE("Trait rating: Biden ", LOWER(B122))</f>
        <v>Trait rating: Biden patriotic</v>
      </c>
      <c r="E122" s="1" t="s">
        <v>135</v>
      </c>
      <c r="F122" s="1" t="s">
        <v>190</v>
      </c>
      <c r="G122" s="1" t="s">
        <v>20</v>
      </c>
      <c r="H122" s="1"/>
      <c r="I122" s="1"/>
      <c r="K122" s="16" t="s">
        <v>1310</v>
      </c>
    </row>
    <row r="123" spans="1:11" ht="14" x14ac:dyDescent="0.15">
      <c r="A123" s="1" t="s">
        <v>309</v>
      </c>
      <c r="B123" s="2" t="s">
        <v>282</v>
      </c>
      <c r="C123" s="1" t="s">
        <v>311</v>
      </c>
      <c r="D123" s="1" t="str">
        <f t="shared" si="8"/>
        <v>Trait rating: Biden intelligent</v>
      </c>
      <c r="E123" s="1" t="s">
        <v>135</v>
      </c>
      <c r="F123" s="1" t="s">
        <v>190</v>
      </c>
      <c r="G123" s="1" t="s">
        <v>20</v>
      </c>
      <c r="H123" s="1"/>
      <c r="I123" s="1"/>
      <c r="K123" s="16" t="s">
        <v>1310</v>
      </c>
    </row>
    <row r="124" spans="1:11" ht="14" x14ac:dyDescent="0.15">
      <c r="A124" s="1" t="s">
        <v>309</v>
      </c>
      <c r="B124" s="2" t="s">
        <v>284</v>
      </c>
      <c r="C124" s="1" t="s">
        <v>312</v>
      </c>
      <c r="D124" s="1" t="str">
        <f t="shared" si="8"/>
        <v>Trait rating: Biden honest</v>
      </c>
      <c r="E124" s="1" t="s">
        <v>135</v>
      </c>
      <c r="F124" s="1" t="s">
        <v>190</v>
      </c>
      <c r="G124" s="1" t="s">
        <v>20</v>
      </c>
      <c r="H124" s="1"/>
      <c r="I124" s="1"/>
      <c r="K124" s="16" t="s">
        <v>1310</v>
      </c>
    </row>
    <row r="125" spans="1:11" ht="14" x14ac:dyDescent="0.15">
      <c r="A125" s="1" t="s">
        <v>309</v>
      </c>
      <c r="B125" s="2" t="s">
        <v>288</v>
      </c>
      <c r="C125" s="1" t="s">
        <v>313</v>
      </c>
      <c r="D125" s="1" t="str">
        <f t="shared" si="8"/>
        <v>Trait rating: Biden selfish</v>
      </c>
      <c r="E125" s="1" t="s">
        <v>135</v>
      </c>
      <c r="F125" s="1" t="s">
        <v>190</v>
      </c>
      <c r="G125" s="1" t="s">
        <v>15</v>
      </c>
      <c r="H125" s="1"/>
      <c r="I125" s="1"/>
      <c r="K125" s="16" t="s">
        <v>1310</v>
      </c>
    </row>
    <row r="126" spans="1:11" ht="14" x14ac:dyDescent="0.15">
      <c r="A126" s="1" t="s">
        <v>309</v>
      </c>
      <c r="B126" s="2" t="s">
        <v>290</v>
      </c>
      <c r="C126" s="1" t="s">
        <v>314</v>
      </c>
      <c r="D126" s="1" t="str">
        <f t="shared" si="8"/>
        <v>Trait rating: Biden mean</v>
      </c>
      <c r="E126" s="1" t="s">
        <v>135</v>
      </c>
      <c r="F126" s="1" t="s">
        <v>190</v>
      </c>
      <c r="G126" s="1" t="s">
        <v>15</v>
      </c>
      <c r="H126" s="1"/>
      <c r="I126" s="1"/>
      <c r="K126" s="16" t="s">
        <v>1310</v>
      </c>
    </row>
    <row r="127" spans="1:11" ht="56" x14ac:dyDescent="0.15">
      <c r="A127" s="1" t="s">
        <v>315</v>
      </c>
      <c r="B127" s="2" t="s">
        <v>316</v>
      </c>
      <c r="C127" s="1" t="s">
        <v>317</v>
      </c>
      <c r="D127" s="1" t="str">
        <f t="shared" ref="D127:D146" si="9">B127</f>
        <v>What Joe Biden has been saying about the ongoing protests has only made the protests more violent.</v>
      </c>
      <c r="E127" s="1" t="s">
        <v>318</v>
      </c>
      <c r="F127" s="1" t="s">
        <v>319</v>
      </c>
      <c r="G127" s="1" t="s">
        <v>15</v>
      </c>
      <c r="H127" s="1"/>
      <c r="I127" s="1"/>
      <c r="K127" s="1" t="s">
        <v>1431</v>
      </c>
    </row>
    <row r="128" spans="1:11" ht="98" x14ac:dyDescent="0.15">
      <c r="A128" s="1" t="s">
        <v>315</v>
      </c>
      <c r="B128" s="2" t="s">
        <v>320</v>
      </c>
      <c r="C128" s="1" t="s">
        <v>321</v>
      </c>
      <c r="D128" s="1" t="str">
        <f t="shared" si="9"/>
        <v>Allowing so many people to vote by mail will inevitably lead to widespread fraud in the elections.</v>
      </c>
      <c r="E128" s="1" t="s">
        <v>211</v>
      </c>
      <c r="F128" s="1" t="s">
        <v>212</v>
      </c>
      <c r="G128" s="1" t="s">
        <v>15</v>
      </c>
      <c r="H128" s="1" t="s">
        <v>322</v>
      </c>
      <c r="I128" s="1"/>
      <c r="J128" s="21" t="s">
        <v>1149</v>
      </c>
      <c r="K128" s="1" t="s">
        <v>1431</v>
      </c>
    </row>
    <row r="129" spans="1:11" ht="56" x14ac:dyDescent="0.15">
      <c r="A129" s="1" t="s">
        <v>315</v>
      </c>
      <c r="B129" s="2" t="s">
        <v>323</v>
      </c>
      <c r="C129" s="1" t="s">
        <v>324</v>
      </c>
      <c r="D129" s="1" t="str">
        <f t="shared" si="9"/>
        <v>If I were walking down the street in New York City or Portland right now, it would probably feel like being in a war zone.</v>
      </c>
      <c r="E129" s="1" t="s">
        <v>318</v>
      </c>
      <c r="F129" s="1" t="s">
        <v>319</v>
      </c>
      <c r="G129" s="1" t="s">
        <v>15</v>
      </c>
      <c r="H129" s="1"/>
      <c r="I129" s="1"/>
      <c r="K129" s="1" t="s">
        <v>1431</v>
      </c>
    </row>
    <row r="130" spans="1:11" ht="42" x14ac:dyDescent="0.15">
      <c r="A130" s="1" t="s">
        <v>315</v>
      </c>
      <c r="B130" s="2" t="s">
        <v>325</v>
      </c>
      <c r="C130" s="1" t="s">
        <v>326</v>
      </c>
      <c r="D130" s="1" t="str">
        <f t="shared" si="9"/>
        <v>If Joe Biden is elected President, the protests in America’s cities will only get more violent.</v>
      </c>
      <c r="E130" s="1" t="s">
        <v>318</v>
      </c>
      <c r="F130" s="1" t="s">
        <v>319</v>
      </c>
      <c r="G130" s="1" t="s">
        <v>15</v>
      </c>
      <c r="H130" s="1"/>
      <c r="I130" s="1"/>
      <c r="J130" s="19" t="s">
        <v>1148</v>
      </c>
      <c r="K130" s="1" t="s">
        <v>1431</v>
      </c>
    </row>
    <row r="131" spans="1:11" ht="56" x14ac:dyDescent="0.15">
      <c r="A131" s="1" t="s">
        <v>315</v>
      </c>
      <c r="B131" s="2" t="s">
        <v>327</v>
      </c>
      <c r="C131" s="1" t="s">
        <v>328</v>
      </c>
      <c r="D131" s="1" t="str">
        <f t="shared" si="9"/>
        <v>The Democratic Party’s views on race are so extreme, even most black people think they are harmful.</v>
      </c>
      <c r="E131" s="1" t="s">
        <v>318</v>
      </c>
      <c r="F131" s="1" t="s">
        <v>319</v>
      </c>
      <c r="G131" s="1" t="s">
        <v>15</v>
      </c>
      <c r="H131" s="1"/>
      <c r="I131" s="1"/>
      <c r="K131" s="1" t="s">
        <v>1431</v>
      </c>
    </row>
    <row r="132" spans="1:11" ht="56" x14ac:dyDescent="0.15">
      <c r="A132" s="1" t="s">
        <v>315</v>
      </c>
      <c r="B132" s="2" t="s">
        <v>329</v>
      </c>
      <c r="C132" s="1" t="s">
        <v>330</v>
      </c>
      <c r="D132" s="1" t="str">
        <f t="shared" si="9"/>
        <v>If Joe Biden is elected President, we’ll see many more police get shot by Black Lives Matter activists.</v>
      </c>
      <c r="E132" s="1" t="s">
        <v>318</v>
      </c>
      <c r="F132" s="1" t="s">
        <v>319</v>
      </c>
      <c r="G132" s="1" t="s">
        <v>15</v>
      </c>
      <c r="H132" s="1"/>
      <c r="I132" s="1"/>
      <c r="J132" s="19" t="s">
        <v>1148</v>
      </c>
      <c r="K132" s="1" t="s">
        <v>1431</v>
      </c>
    </row>
    <row r="133" spans="1:11" ht="42" x14ac:dyDescent="0.15">
      <c r="A133" s="1" t="s">
        <v>315</v>
      </c>
      <c r="B133" s="2" t="s">
        <v>331</v>
      </c>
      <c r="C133" s="1" t="s">
        <v>332</v>
      </c>
      <c r="D133" s="1" t="str">
        <f t="shared" si="9"/>
        <v>I think many Biden supporters are probably happy to see it when police officers get shot.</v>
      </c>
      <c r="E133" s="1" t="s">
        <v>318</v>
      </c>
      <c r="F133" s="1" t="s">
        <v>319</v>
      </c>
      <c r="G133" s="1" t="s">
        <v>15</v>
      </c>
      <c r="H133" s="1"/>
      <c r="I133" s="1"/>
      <c r="J133" s="19" t="s">
        <v>1148</v>
      </c>
      <c r="K133" s="1" t="s">
        <v>1431</v>
      </c>
    </row>
    <row r="134" spans="1:11" ht="42" x14ac:dyDescent="0.15">
      <c r="A134" s="1" t="s">
        <v>315</v>
      </c>
      <c r="B134" s="2" t="s">
        <v>333</v>
      </c>
      <c r="C134" s="1" t="s">
        <v>334</v>
      </c>
      <c r="D134" s="1" t="str">
        <f t="shared" si="9"/>
        <v>Climate change probably played a role in the recent wildfires on the West Coast.</v>
      </c>
      <c r="E134" s="1" t="s">
        <v>318</v>
      </c>
      <c r="F134" s="1" t="s">
        <v>335</v>
      </c>
      <c r="G134" s="1" t="s">
        <v>20</v>
      </c>
      <c r="H134" s="1"/>
      <c r="I134" s="1"/>
      <c r="K134" s="1" t="s">
        <v>1431</v>
      </c>
    </row>
    <row r="135" spans="1:11" ht="42" x14ac:dyDescent="0.15">
      <c r="A135" s="1" t="s">
        <v>315</v>
      </c>
      <c r="B135" s="2" t="s">
        <v>336</v>
      </c>
      <c r="C135" s="1" t="s">
        <v>337</v>
      </c>
      <c r="D135" s="1" t="str">
        <f t="shared" si="9"/>
        <v>Democrats are trying to steal the election with fraudulent mail-in ballots.</v>
      </c>
      <c r="E135" s="1" t="s">
        <v>318</v>
      </c>
      <c r="F135" s="1" t="s">
        <v>319</v>
      </c>
      <c r="G135" s="1" t="s">
        <v>15</v>
      </c>
      <c r="H135" s="1"/>
      <c r="I135" s="1"/>
      <c r="J135" s="19" t="s">
        <v>1150</v>
      </c>
      <c r="K135" s="1" t="s">
        <v>1431</v>
      </c>
    </row>
    <row r="136" spans="1:11" ht="42" x14ac:dyDescent="0.15">
      <c r="A136" s="1" t="s">
        <v>315</v>
      </c>
      <c r="B136" s="2" t="s">
        <v>338</v>
      </c>
      <c r="C136" s="1" t="s">
        <v>339</v>
      </c>
      <c r="D136" s="1" t="str">
        <f t="shared" si="9"/>
        <v>If Donald Trump is declared the loser of the election, he will accept the results.</v>
      </c>
      <c r="E136" s="1" t="s">
        <v>318</v>
      </c>
      <c r="F136" s="1" t="s">
        <v>335</v>
      </c>
      <c r="G136" s="1" t="s">
        <v>15</v>
      </c>
      <c r="H136" s="1"/>
      <c r="I136" s="1"/>
      <c r="J136" s="19" t="s">
        <v>1150</v>
      </c>
      <c r="K136" s="1" t="s">
        <v>1431</v>
      </c>
    </row>
    <row r="137" spans="1:11" ht="42" x14ac:dyDescent="0.15">
      <c r="A137" s="1" t="s">
        <v>315</v>
      </c>
      <c r="B137" s="2" t="s">
        <v>340</v>
      </c>
      <c r="C137" s="1" t="s">
        <v>341</v>
      </c>
      <c r="D137" s="1" t="str">
        <f t="shared" si="9"/>
        <v>I support the recent protests against police (for example, “Black Lives Matter”).</v>
      </c>
      <c r="E137" s="1" t="s">
        <v>211</v>
      </c>
      <c r="F137" s="1" t="s">
        <v>212</v>
      </c>
      <c r="G137" s="1" t="s">
        <v>20</v>
      </c>
      <c r="H137" s="1"/>
      <c r="I137" s="1"/>
      <c r="K137" s="1" t="s">
        <v>1431</v>
      </c>
    </row>
    <row r="138" spans="1:11" ht="42" x14ac:dyDescent="0.15">
      <c r="A138" s="1" t="s">
        <v>315</v>
      </c>
      <c r="B138" s="2" t="s">
        <v>342</v>
      </c>
      <c r="C138" s="1" t="s">
        <v>343</v>
      </c>
      <c r="D138" s="1" t="str">
        <f t="shared" si="9"/>
        <v>Recent calls to “defund the police” have led to increases in violent crime in American cities.</v>
      </c>
      <c r="E138" s="1" t="s">
        <v>318</v>
      </c>
      <c r="F138" s="1" t="s">
        <v>319</v>
      </c>
      <c r="G138" s="1" t="s">
        <v>15</v>
      </c>
      <c r="H138" s="1"/>
      <c r="I138" s="1"/>
      <c r="K138" s="1" t="s">
        <v>1431</v>
      </c>
    </row>
    <row r="139" spans="1:11" ht="42" x14ac:dyDescent="0.15">
      <c r="A139" s="1" t="s">
        <v>315</v>
      </c>
      <c r="B139" s="2" t="s">
        <v>344</v>
      </c>
      <c r="C139" s="1" t="s">
        <v>345</v>
      </c>
      <c r="D139" s="1" t="str">
        <f t="shared" si="9"/>
        <v>Schools and companies should teach people about racism in the United States.</v>
      </c>
      <c r="E139" s="1" t="s">
        <v>211</v>
      </c>
      <c r="F139" s="1" t="s">
        <v>212</v>
      </c>
      <c r="G139" s="1" t="s">
        <v>20</v>
      </c>
      <c r="H139" s="1"/>
      <c r="I139" s="1"/>
      <c r="K139" s="1" t="s">
        <v>1431</v>
      </c>
    </row>
    <row r="140" spans="1:11" ht="42" x14ac:dyDescent="0.15">
      <c r="A140" s="1" t="s">
        <v>315</v>
      </c>
      <c r="B140" s="2" t="s">
        <v>346</v>
      </c>
      <c r="C140" s="1" t="s">
        <v>347</v>
      </c>
      <c r="D140" s="1" t="str">
        <f t="shared" si="9"/>
        <v>Blacks are treated just as fairly as whites when dealing with the police.</v>
      </c>
      <c r="E140" s="1" t="s">
        <v>318</v>
      </c>
      <c r="F140" s="1" t="s">
        <v>319</v>
      </c>
      <c r="G140" s="1" t="s">
        <v>15</v>
      </c>
      <c r="H140" s="1"/>
      <c r="I140" s="1"/>
      <c r="K140" s="1" t="s">
        <v>1431</v>
      </c>
    </row>
    <row r="141" spans="1:11" ht="98" x14ac:dyDescent="0.15">
      <c r="A141" s="1" t="s">
        <v>315</v>
      </c>
      <c r="B141" s="2" t="s">
        <v>348</v>
      </c>
      <c r="C141" s="1" t="s">
        <v>349</v>
      </c>
      <c r="D141" s="1" t="str">
        <f t="shared" si="9"/>
        <v>Global warming is happening.</v>
      </c>
      <c r="E141" s="1" t="s">
        <v>211</v>
      </c>
      <c r="F141" s="1" t="s">
        <v>212</v>
      </c>
      <c r="G141" s="1" t="s">
        <v>20</v>
      </c>
      <c r="H141" s="1" t="s">
        <v>322</v>
      </c>
      <c r="I141" s="1"/>
      <c r="K141" s="1" t="s">
        <v>1431</v>
      </c>
    </row>
    <row r="142" spans="1:11" ht="56" x14ac:dyDescent="0.15">
      <c r="A142" s="1" t="s">
        <v>315</v>
      </c>
      <c r="B142" s="2" t="s">
        <v>350</v>
      </c>
      <c r="C142" s="1" t="s">
        <v>351</v>
      </c>
      <c r="D142" s="1" t="str">
        <f t="shared" si="9"/>
        <v>I feel that I have a pretty good understanding of the important political issues facing our country.</v>
      </c>
      <c r="E142" s="1" t="s">
        <v>42</v>
      </c>
      <c r="F142" s="1" t="s">
        <v>14</v>
      </c>
      <c r="G142" s="1" t="s">
        <v>14</v>
      </c>
      <c r="H142" s="1"/>
      <c r="I142" s="1"/>
      <c r="K142" s="1" t="s">
        <v>1431</v>
      </c>
    </row>
    <row r="143" spans="1:11" ht="42" x14ac:dyDescent="0.15">
      <c r="A143" s="1" t="s">
        <v>315</v>
      </c>
      <c r="B143" s="2" t="s">
        <v>352</v>
      </c>
      <c r="C143" s="1" t="s">
        <v>353</v>
      </c>
      <c r="D143" s="1" t="str">
        <f t="shared" si="9"/>
        <v>Things have changed so much that I often feel like a stranger in my own country.</v>
      </c>
      <c r="E143" s="1" t="s">
        <v>42</v>
      </c>
      <c r="F143" s="1" t="s">
        <v>354</v>
      </c>
      <c r="G143" s="1" t="s">
        <v>15</v>
      </c>
      <c r="H143" s="1"/>
      <c r="I143" s="1"/>
      <c r="K143" s="1" t="s">
        <v>1431</v>
      </c>
    </row>
    <row r="144" spans="1:11" ht="42" x14ac:dyDescent="0.15">
      <c r="A144" s="1" t="s">
        <v>315</v>
      </c>
      <c r="B144" s="2" t="s">
        <v>355</v>
      </c>
      <c r="C144" s="1" t="s">
        <v>356</v>
      </c>
      <c r="D144" s="1" t="str">
        <f t="shared" si="9"/>
        <v>A time will come when patriotic Americans have to take the law into their own hands.</v>
      </c>
      <c r="E144" s="1" t="s">
        <v>42</v>
      </c>
      <c r="F144" s="1" t="s">
        <v>354</v>
      </c>
      <c r="G144" s="1" t="s">
        <v>15</v>
      </c>
      <c r="H144" s="1"/>
      <c r="I144" s="1"/>
      <c r="K144" s="1" t="s">
        <v>1431</v>
      </c>
    </row>
    <row r="145" spans="1:11" ht="70" x14ac:dyDescent="0.15">
      <c r="A145" s="1" t="s">
        <v>315</v>
      </c>
      <c r="B145" s="2" t="s">
        <v>357</v>
      </c>
      <c r="C145" s="1" t="s">
        <v>358</v>
      </c>
      <c r="D145" s="1" t="str">
        <f t="shared" si="9"/>
        <v>If elected president, Joe Biden will do whatever it is that radical left socialists like Alexandria Ocasio-Cortez and Bernie Sanders tell him to do.</v>
      </c>
      <c r="E145" s="1" t="s">
        <v>318</v>
      </c>
      <c r="F145" s="1" t="s">
        <v>319</v>
      </c>
      <c r="G145" s="1" t="s">
        <v>15</v>
      </c>
      <c r="H145" s="1"/>
      <c r="I145" s="1"/>
      <c r="K145" s="1" t="s">
        <v>1431</v>
      </c>
    </row>
    <row r="146" spans="1:11" ht="56" x14ac:dyDescent="0.15">
      <c r="A146" s="1" t="s">
        <v>315</v>
      </c>
      <c r="B146" s="2" t="s">
        <v>359</v>
      </c>
      <c r="C146" s="1" t="s">
        <v>360</v>
      </c>
      <c r="D146" s="1" t="str">
        <f t="shared" si="9"/>
        <v>I plan to vote by mail this year.</v>
      </c>
      <c r="E146" s="1" t="s">
        <v>211</v>
      </c>
      <c r="F146" s="1" t="s">
        <v>212</v>
      </c>
      <c r="G146" s="1" t="s">
        <v>20</v>
      </c>
      <c r="H146" s="1" t="s">
        <v>361</v>
      </c>
      <c r="I146" s="1"/>
      <c r="K146" s="1" t="s">
        <v>1431</v>
      </c>
    </row>
    <row r="147" spans="1:11" ht="56" x14ac:dyDescent="0.15">
      <c r="A147" s="1" t="s">
        <v>362</v>
      </c>
      <c r="B147" s="1" t="s">
        <v>363</v>
      </c>
      <c r="C147" s="1" t="s">
        <v>364</v>
      </c>
      <c r="D147" s="1" t="s">
        <v>365</v>
      </c>
      <c r="E147" s="1" t="s">
        <v>135</v>
      </c>
      <c r="F147" s="1" t="s">
        <v>198</v>
      </c>
      <c r="G147" s="1" t="s">
        <v>366</v>
      </c>
      <c r="H147" s="1" t="s">
        <v>367</v>
      </c>
      <c r="I147" s="1"/>
      <c r="K147" s="16" t="s">
        <v>975</v>
      </c>
    </row>
    <row r="148" spans="1:11" ht="56" x14ac:dyDescent="0.15">
      <c r="A148" s="1" t="s">
        <v>368</v>
      </c>
      <c r="B148" s="2" t="s">
        <v>369</v>
      </c>
      <c r="C148" s="1" t="s">
        <v>370</v>
      </c>
      <c r="D148" s="1" t="str">
        <f t="shared" ref="D148:D153" si="10">B148</f>
        <v>When possible, Republican politicians should try to compromise with Democratic politicians to get things done.</v>
      </c>
      <c r="E148" s="1" t="s">
        <v>371</v>
      </c>
      <c r="F148" s="1" t="s">
        <v>371</v>
      </c>
      <c r="G148" s="1" t="s">
        <v>20</v>
      </c>
      <c r="H148" s="1"/>
      <c r="I148" s="1"/>
      <c r="K148" s="1" t="s">
        <v>1431</v>
      </c>
    </row>
    <row r="149" spans="1:11" ht="98" x14ac:dyDescent="0.15">
      <c r="A149" s="1" t="s">
        <v>368</v>
      </c>
      <c r="B149" s="2" t="s">
        <v>372</v>
      </c>
      <c r="C149" s="1" t="s">
        <v>373</v>
      </c>
      <c r="D149" s="1" t="str">
        <f t="shared" si="10"/>
        <v>If a Republican governor of a state can't get cooperation from Democratic legislators to pass new laws, the Republican governor should issue executive orders on their own to accomplish their priorities.</v>
      </c>
      <c r="E149" s="1" t="s">
        <v>371</v>
      </c>
      <c r="F149" s="1" t="s">
        <v>371</v>
      </c>
      <c r="G149" s="1" t="s">
        <v>15</v>
      </c>
      <c r="H149" s="1"/>
      <c r="I149" s="1"/>
      <c r="K149" s="1" t="s">
        <v>1431</v>
      </c>
    </row>
    <row r="150" spans="1:11" ht="70" x14ac:dyDescent="0.15">
      <c r="A150" s="1" t="s">
        <v>368</v>
      </c>
      <c r="B150" s="2" t="s">
        <v>374</v>
      </c>
      <c r="C150" s="1" t="s">
        <v>375</v>
      </c>
      <c r="D150" s="1" t="str">
        <f t="shared" si="10"/>
        <v>If a journalist accuses a Republican politician of misconduct without naming their sources, the journalist should be criminally investigated.</v>
      </c>
      <c r="E150" s="1" t="s">
        <v>85</v>
      </c>
      <c r="F150" s="1" t="s">
        <v>86</v>
      </c>
      <c r="G150" s="1" t="s">
        <v>15</v>
      </c>
      <c r="H150" s="1"/>
      <c r="I150" s="1"/>
      <c r="K150" s="1" t="s">
        <v>1431</v>
      </c>
    </row>
    <row r="151" spans="1:11" ht="56" x14ac:dyDescent="0.15">
      <c r="A151" s="1" t="s">
        <v>368</v>
      </c>
      <c r="B151" s="2" t="s">
        <v>376</v>
      </c>
      <c r="C151" s="1" t="s">
        <v>377</v>
      </c>
      <c r="D151" s="1" t="str">
        <f t="shared" si="10"/>
        <v>When they criticize political leaders, news organizations prevent political leaders from doing their jobs.</v>
      </c>
      <c r="E151" s="1" t="s">
        <v>85</v>
      </c>
      <c r="F151" s="1" t="s">
        <v>86</v>
      </c>
      <c r="G151" s="1" t="s">
        <v>15</v>
      </c>
      <c r="H151" s="1"/>
      <c r="I151" s="1"/>
      <c r="K151" s="1" t="s">
        <v>1431</v>
      </c>
    </row>
    <row r="152" spans="1:11" ht="28" x14ac:dyDescent="0.15">
      <c r="A152" s="1" t="s">
        <v>368</v>
      </c>
      <c r="B152" s="2" t="s">
        <v>378</v>
      </c>
      <c r="C152" s="1" t="s">
        <v>379</v>
      </c>
      <c r="D152" s="1" t="str">
        <f t="shared" si="10"/>
        <v>The government should take CNN off the air.</v>
      </c>
      <c r="E152" s="1" t="s">
        <v>85</v>
      </c>
      <c r="F152" s="1" t="s">
        <v>94</v>
      </c>
      <c r="G152" s="1" t="s">
        <v>15</v>
      </c>
      <c r="H152" s="1"/>
      <c r="I152" s="1"/>
      <c r="K152" s="1" t="s">
        <v>1431</v>
      </c>
    </row>
    <row r="153" spans="1:11" ht="28" x14ac:dyDescent="0.15">
      <c r="A153" s="1" t="s">
        <v>368</v>
      </c>
      <c r="B153" s="2" t="s">
        <v>380</v>
      </c>
      <c r="C153" s="1" t="s">
        <v>381</v>
      </c>
      <c r="D153" s="1" t="str">
        <f t="shared" si="10"/>
        <v>Journalists must always be free to criticize our political leaders.</v>
      </c>
      <c r="E153" s="1" t="s">
        <v>85</v>
      </c>
      <c r="F153" s="1" t="s">
        <v>86</v>
      </c>
      <c r="G153" s="1" t="s">
        <v>20</v>
      </c>
      <c r="H153" s="1"/>
      <c r="I153" s="1"/>
      <c r="K153" s="1" t="s">
        <v>1431</v>
      </c>
    </row>
    <row r="154" spans="1:11" ht="28" x14ac:dyDescent="0.15">
      <c r="A154" s="1" t="s">
        <v>382</v>
      </c>
      <c r="B154" s="2" t="s">
        <v>383</v>
      </c>
      <c r="C154" s="1" t="s">
        <v>384</v>
      </c>
      <c r="D154" s="1" t="str">
        <f t="shared" ref="D154:D159" si="11">CONCATENATE("Biden supports: ", B154)</f>
        <v>Biden supports: Eliminate all funding for the police.</v>
      </c>
      <c r="E154" s="1" t="s">
        <v>385</v>
      </c>
      <c r="F154" s="1" t="s">
        <v>386</v>
      </c>
      <c r="G154" s="1" t="s">
        <v>15</v>
      </c>
      <c r="H154" s="1" t="s">
        <v>387</v>
      </c>
      <c r="I154" s="1"/>
      <c r="J154" s="19" t="s">
        <v>1148</v>
      </c>
      <c r="K154" s="1" t="s">
        <v>387</v>
      </c>
    </row>
    <row r="155" spans="1:11" ht="56" x14ac:dyDescent="0.15">
      <c r="A155" s="1" t="s">
        <v>382</v>
      </c>
      <c r="B155" s="2" t="s">
        <v>388</v>
      </c>
      <c r="C155" s="1" t="s">
        <v>389</v>
      </c>
      <c r="D155" s="1" t="str">
        <f t="shared" si="11"/>
        <v>Biden supports: Tear down statues of anyone who owned slaves, including George Washington.</v>
      </c>
      <c r="E155" s="1" t="s">
        <v>385</v>
      </c>
      <c r="F155" s="1" t="s">
        <v>386</v>
      </c>
      <c r="G155" s="1" t="s">
        <v>15</v>
      </c>
      <c r="H155" s="1" t="s">
        <v>387</v>
      </c>
      <c r="I155" s="1"/>
      <c r="K155" s="1" t="s">
        <v>387</v>
      </c>
    </row>
    <row r="156" spans="1:11" ht="112" x14ac:dyDescent="0.15">
      <c r="A156" s="1" t="s">
        <v>382</v>
      </c>
      <c r="B156" s="2" t="s">
        <v>390</v>
      </c>
      <c r="C156" s="1" t="s">
        <v>391</v>
      </c>
      <c r="D156" s="1" t="str">
        <f t="shared" si="11"/>
        <v>Biden supports: Create a new government insurance option like Medicare, allowing Americans to keep their private insurance if they want, but also allowing them to choose to have government health insurance if they want it instead.</v>
      </c>
      <c r="E156" s="1" t="s">
        <v>385</v>
      </c>
      <c r="F156" s="1" t="s">
        <v>392</v>
      </c>
      <c r="G156" s="1" t="s">
        <v>20</v>
      </c>
      <c r="H156" s="1" t="s">
        <v>387</v>
      </c>
      <c r="I156" s="1"/>
      <c r="K156" s="1" t="s">
        <v>387</v>
      </c>
    </row>
    <row r="157" spans="1:11" ht="42" x14ac:dyDescent="0.15">
      <c r="A157" s="1" t="s">
        <v>382</v>
      </c>
      <c r="B157" s="2" t="s">
        <v>393</v>
      </c>
      <c r="C157" s="1" t="s">
        <v>394</v>
      </c>
      <c r="D157" s="1" t="str">
        <f t="shared" si="11"/>
        <v>Biden supports: Increase taxes on corporations and wealthy people.</v>
      </c>
      <c r="E157" s="1" t="s">
        <v>385</v>
      </c>
      <c r="F157" s="1" t="s">
        <v>392</v>
      </c>
      <c r="G157" s="1" t="s">
        <v>20</v>
      </c>
      <c r="H157" s="1" t="s">
        <v>387</v>
      </c>
      <c r="I157" s="1"/>
      <c r="K157" s="1" t="s">
        <v>387</v>
      </c>
    </row>
    <row r="158" spans="1:11" ht="70" x14ac:dyDescent="0.15">
      <c r="A158" s="1" t="s">
        <v>382</v>
      </c>
      <c r="B158" s="2" t="s">
        <v>395</v>
      </c>
      <c r="C158" s="1" t="s">
        <v>396</v>
      </c>
      <c r="D158" s="1" t="str">
        <f t="shared" si="11"/>
        <v>Biden supports: Racial minorities should receive special treatment in hiring and college admissions to make up for past discrimination.</v>
      </c>
      <c r="E158" s="1" t="s">
        <v>385</v>
      </c>
      <c r="F158" s="1" t="s">
        <v>386</v>
      </c>
      <c r="G158" s="1" t="s">
        <v>15</v>
      </c>
      <c r="H158" s="1" t="s">
        <v>387</v>
      </c>
      <c r="I158" s="1"/>
      <c r="K158" s="1" t="s">
        <v>387</v>
      </c>
    </row>
    <row r="159" spans="1:11" ht="56" x14ac:dyDescent="0.15">
      <c r="A159" s="1" t="s">
        <v>382</v>
      </c>
      <c r="B159" s="2" t="s">
        <v>397</v>
      </c>
      <c r="C159" s="1" t="s">
        <v>398</v>
      </c>
      <c r="D159" s="1" t="str">
        <f t="shared" si="11"/>
        <v>Biden supports: Substantially increase government spending by trillions of dollars over the next decade.</v>
      </c>
      <c r="E159" s="1" t="s">
        <v>385</v>
      </c>
      <c r="F159" s="1" t="s">
        <v>386</v>
      </c>
      <c r="G159" s="1" t="s">
        <v>15</v>
      </c>
      <c r="H159" s="1" t="s">
        <v>387</v>
      </c>
      <c r="I159" s="1"/>
      <c r="K159" s="1" t="s">
        <v>387</v>
      </c>
    </row>
    <row r="160" spans="1:11" ht="42" x14ac:dyDescent="0.15">
      <c r="A160" s="1" t="s">
        <v>399</v>
      </c>
      <c r="B160" s="2" t="s">
        <v>400</v>
      </c>
      <c r="C160" s="1" t="s">
        <v>401</v>
      </c>
      <c r="D160" s="1" t="str">
        <f t="shared" ref="D160:D164" si="12">CONCATENATE("Trump supports: ", B160)</f>
        <v>Trump supports: Open America's public schools for in-person classes this fall.</v>
      </c>
      <c r="E160" s="1" t="s">
        <v>385</v>
      </c>
      <c r="F160" s="1" t="s">
        <v>402</v>
      </c>
      <c r="G160" s="1" t="s">
        <v>20</v>
      </c>
      <c r="H160" s="1" t="s">
        <v>387</v>
      </c>
      <c r="I160" s="1"/>
      <c r="K160" s="1" t="s">
        <v>387</v>
      </c>
    </row>
    <row r="161" spans="1:11" ht="28" x14ac:dyDescent="0.15">
      <c r="A161" s="1" t="s">
        <v>399</v>
      </c>
      <c r="B161" s="2" t="s">
        <v>403</v>
      </c>
      <c r="C161" s="1" t="s">
        <v>404</v>
      </c>
      <c r="D161" s="1" t="str">
        <f t="shared" si="12"/>
        <v>Trump supports: Americans should wear masks in public.</v>
      </c>
      <c r="E161" s="1" t="s">
        <v>385</v>
      </c>
      <c r="F161" s="1" t="s">
        <v>402</v>
      </c>
      <c r="G161" s="1" t="s">
        <v>15</v>
      </c>
      <c r="H161" s="1" t="s">
        <v>387</v>
      </c>
      <c r="I161" s="1"/>
      <c r="J161" s="19" t="s">
        <v>1147</v>
      </c>
      <c r="K161" s="1" t="s">
        <v>387</v>
      </c>
    </row>
    <row r="162" spans="1:11" ht="42" x14ac:dyDescent="0.15">
      <c r="A162" s="1" t="s">
        <v>399</v>
      </c>
      <c r="B162" s="2" t="s">
        <v>405</v>
      </c>
      <c r="C162" s="1" t="s">
        <v>406</v>
      </c>
      <c r="D162" s="1" t="str">
        <f t="shared" si="12"/>
        <v>Trump supports: All Americans should be allowed to vote by mail.</v>
      </c>
      <c r="E162" s="1" t="s">
        <v>385</v>
      </c>
      <c r="F162" s="1" t="s">
        <v>402</v>
      </c>
      <c r="G162" s="1" t="s">
        <v>15</v>
      </c>
      <c r="H162" s="1" t="s">
        <v>387</v>
      </c>
      <c r="I162" s="1"/>
      <c r="K162" s="1" t="s">
        <v>387</v>
      </c>
    </row>
    <row r="163" spans="1:11" ht="70" x14ac:dyDescent="0.15">
      <c r="A163" s="1" t="s">
        <v>399</v>
      </c>
      <c r="B163" s="2" t="s">
        <v>407</v>
      </c>
      <c r="C163" s="1" t="s">
        <v>408</v>
      </c>
      <c r="D163" s="1" t="str">
        <f t="shared" si="12"/>
        <v>Trump supports: Repeal the law that prohibits insurance companies from charging people more if they have pre-existing medical conditions.</v>
      </c>
      <c r="E163" s="1" t="s">
        <v>385</v>
      </c>
      <c r="F163" s="1" t="s">
        <v>402</v>
      </c>
      <c r="G163" s="1" t="s">
        <v>20</v>
      </c>
      <c r="H163" s="1" t="s">
        <v>387</v>
      </c>
      <c r="I163" s="1"/>
      <c r="K163" s="1" t="s">
        <v>387</v>
      </c>
    </row>
    <row r="164" spans="1:11" ht="42" x14ac:dyDescent="0.15">
      <c r="A164" s="1" t="s">
        <v>399</v>
      </c>
      <c r="B164" s="2" t="s">
        <v>393</v>
      </c>
      <c r="C164" s="1" t="s">
        <v>409</v>
      </c>
      <c r="D164" s="1" t="str">
        <f t="shared" si="12"/>
        <v>Trump supports: Increase taxes on corporations and wealthy people.</v>
      </c>
      <c r="E164" s="1" t="s">
        <v>385</v>
      </c>
      <c r="F164" s="1" t="s">
        <v>402</v>
      </c>
      <c r="G164" s="1" t="s">
        <v>15</v>
      </c>
      <c r="H164" s="1" t="s">
        <v>387</v>
      </c>
      <c r="I164" s="1"/>
      <c r="K164" s="1" t="s">
        <v>387</v>
      </c>
    </row>
    <row r="165" spans="1:11" ht="42" x14ac:dyDescent="0.15">
      <c r="A165" s="1" t="s">
        <v>410</v>
      </c>
      <c r="B165" s="2" t="s">
        <v>411</v>
      </c>
      <c r="C165" s="1" t="s">
        <v>412</v>
      </c>
      <c r="D165" s="1" t="str">
        <f t="shared" ref="D165:D179" si="13">CONCATENATE("T/F: ", B165)</f>
        <v>T/F: Trump said that he would accept the results of the election if he is declared the loser.</v>
      </c>
      <c r="E165" s="1" t="s">
        <v>385</v>
      </c>
      <c r="F165" s="1" t="s">
        <v>402</v>
      </c>
      <c r="G165" s="1" t="s">
        <v>15</v>
      </c>
      <c r="H165" s="1" t="s">
        <v>413</v>
      </c>
      <c r="I165" s="1"/>
      <c r="J165" s="19" t="s">
        <v>1147</v>
      </c>
      <c r="K165" s="1" t="s">
        <v>413</v>
      </c>
    </row>
    <row r="166" spans="1:11" ht="28" x14ac:dyDescent="0.15">
      <c r="A166" s="1" t="s">
        <v>410</v>
      </c>
      <c r="B166" s="2" t="s">
        <v>414</v>
      </c>
      <c r="C166" s="1" t="s">
        <v>415</v>
      </c>
      <c r="D166" s="1" t="str">
        <f t="shared" si="13"/>
        <v>T/F: Over 200,000 Americans have died from COVID-19.</v>
      </c>
      <c r="E166" s="1" t="s">
        <v>385</v>
      </c>
      <c r="F166" s="1" t="s">
        <v>335</v>
      </c>
      <c r="G166" s="1" t="s">
        <v>20</v>
      </c>
      <c r="H166" s="1" t="s">
        <v>413</v>
      </c>
      <c r="I166" s="1"/>
      <c r="K166" s="1" t="s">
        <v>413</v>
      </c>
    </row>
    <row r="167" spans="1:11" ht="112" x14ac:dyDescent="0.15">
      <c r="A167" s="1" t="s">
        <v>410</v>
      </c>
      <c r="B167" s="2" t="s">
        <v>416</v>
      </c>
      <c r="C167" s="1" t="s">
        <v>417</v>
      </c>
      <c r="D167" s="1" t="str">
        <f t="shared" si="13"/>
        <v>T/F: The Department of Homeland Security recently warned that the Russian government is trying to undermine confidence in the 2020 election by promoting claims that mail-in voting encourages fraud.</v>
      </c>
      <c r="E167" s="1" t="s">
        <v>385</v>
      </c>
      <c r="F167" s="1" t="s">
        <v>335</v>
      </c>
      <c r="G167" s="1" t="s">
        <v>20</v>
      </c>
      <c r="H167" s="1" t="s">
        <v>413</v>
      </c>
      <c r="I167" s="1"/>
      <c r="K167" s="1" t="s">
        <v>413</v>
      </c>
    </row>
    <row r="168" spans="1:11" ht="42" x14ac:dyDescent="0.15">
      <c r="A168" s="1" t="s">
        <v>410</v>
      </c>
      <c r="B168" s="2" t="s">
        <v>418</v>
      </c>
      <c r="C168" s="1" t="s">
        <v>419</v>
      </c>
      <c r="D168" s="1" t="str">
        <f t="shared" si="13"/>
        <v>T/F: Joe Biden has condemned violence at recent Black Lives Matter protests.</v>
      </c>
      <c r="E168" s="1" t="s">
        <v>385</v>
      </c>
      <c r="F168" s="1" t="s">
        <v>386</v>
      </c>
      <c r="G168" s="1" t="s">
        <v>20</v>
      </c>
      <c r="H168" s="1" t="s">
        <v>420</v>
      </c>
      <c r="I168" s="1"/>
      <c r="K168" s="1" t="s">
        <v>420</v>
      </c>
    </row>
    <row r="169" spans="1:11" ht="70" x14ac:dyDescent="0.15">
      <c r="A169" s="1" t="s">
        <v>410</v>
      </c>
      <c r="B169" s="2" t="s">
        <v>421</v>
      </c>
      <c r="C169" s="1" t="s">
        <v>422</v>
      </c>
      <c r="D169" s="1" t="str">
        <f t="shared" si="13"/>
        <v>T/F: President Donald Trump referred to US soldiers who died in combat and are buried at the Aisne-Marne cemetery as "losers" and "suckers."</v>
      </c>
      <c r="E169" s="1" t="s">
        <v>385</v>
      </c>
      <c r="F169" s="1" t="s">
        <v>402</v>
      </c>
      <c r="G169" s="1" t="s">
        <v>20</v>
      </c>
      <c r="H169" s="1" t="s">
        <v>423</v>
      </c>
      <c r="I169" s="1"/>
      <c r="K169" s="1" t="s">
        <v>423</v>
      </c>
    </row>
    <row r="170" spans="1:11" ht="84" x14ac:dyDescent="0.15">
      <c r="A170" s="1" t="s">
        <v>410</v>
      </c>
      <c r="B170" s="2" t="s">
        <v>424</v>
      </c>
      <c r="C170" s="1" t="s">
        <v>425</v>
      </c>
      <c r="D170" s="1" t="str">
        <f t="shared" si="13"/>
        <v>T/F: Donald Trump recently banned diversity trainings for government staff that incorporate teachings about “critical race theory” and “white privilege”.</v>
      </c>
      <c r="E170" s="1" t="s">
        <v>385</v>
      </c>
      <c r="F170" s="1" t="s">
        <v>426</v>
      </c>
      <c r="G170" s="1" t="s">
        <v>15</v>
      </c>
      <c r="H170" s="1" t="s">
        <v>423</v>
      </c>
      <c r="I170" s="1"/>
      <c r="K170" s="1" t="s">
        <v>423</v>
      </c>
    </row>
    <row r="171" spans="1:11" ht="56" x14ac:dyDescent="0.15">
      <c r="A171" s="1" t="s">
        <v>410</v>
      </c>
      <c r="B171" s="2" t="s">
        <v>427</v>
      </c>
      <c r="C171" s="1" t="s">
        <v>428</v>
      </c>
      <c r="D171" s="1" t="str">
        <f t="shared" si="13"/>
        <v>T/F: Back in February, Donald Trump admitted privately that he knew the coronavirus was much more deadly than the flu.</v>
      </c>
      <c r="E171" s="1" t="s">
        <v>385</v>
      </c>
      <c r="F171" s="1" t="s">
        <v>402</v>
      </c>
      <c r="G171" s="1" t="s">
        <v>20</v>
      </c>
      <c r="H171" s="1" t="s">
        <v>423</v>
      </c>
      <c r="I171" s="1"/>
      <c r="K171" s="1" t="s">
        <v>423</v>
      </c>
    </row>
    <row r="172" spans="1:11" ht="70" x14ac:dyDescent="0.15">
      <c r="A172" s="1" t="s">
        <v>410</v>
      </c>
      <c r="B172" s="2" t="s">
        <v>429</v>
      </c>
      <c r="C172" s="1" t="s">
        <v>430</v>
      </c>
      <c r="D172" s="1" t="str">
        <f t="shared" si="13"/>
        <v>T/F: A large number of former military leaders and former Republican leaders have endorsed Joe Biden for President.</v>
      </c>
      <c r="E172" s="1" t="s">
        <v>385</v>
      </c>
      <c r="F172" s="1" t="s">
        <v>392</v>
      </c>
      <c r="G172" s="1" t="s">
        <v>20</v>
      </c>
      <c r="H172" s="1" t="s">
        <v>423</v>
      </c>
      <c r="I172" s="1"/>
      <c r="K172" s="1" t="s">
        <v>423</v>
      </c>
    </row>
    <row r="173" spans="1:11" ht="56" x14ac:dyDescent="0.15">
      <c r="A173" s="1" t="s">
        <v>410</v>
      </c>
      <c r="B173" s="2" t="s">
        <v>431</v>
      </c>
      <c r="C173" s="1" t="s">
        <v>432</v>
      </c>
      <c r="D173" s="1" t="str">
        <f t="shared" si="13"/>
        <v>T/F: Russian President Vladimir Putin has been interfering in this year’s Presidential election to help Donald Trump.</v>
      </c>
      <c r="E173" s="1" t="s">
        <v>385</v>
      </c>
      <c r="F173" s="1" t="s">
        <v>335</v>
      </c>
      <c r="G173" s="1" t="s">
        <v>20</v>
      </c>
      <c r="H173" s="1" t="s">
        <v>423</v>
      </c>
      <c r="I173" s="1"/>
      <c r="K173" s="1" t="s">
        <v>423</v>
      </c>
    </row>
    <row r="174" spans="1:11" ht="42" x14ac:dyDescent="0.15">
      <c r="A174" s="1" t="s">
        <v>410</v>
      </c>
      <c r="B174" s="2" t="s">
        <v>433</v>
      </c>
      <c r="C174" s="1" t="s">
        <v>434</v>
      </c>
      <c r="D174" s="1" t="str">
        <f t="shared" si="13"/>
        <v>T/F: There is much more violent crime in big cities in America than there used to be.</v>
      </c>
      <c r="E174" s="1" t="s">
        <v>385</v>
      </c>
      <c r="F174" s="1" t="s">
        <v>319</v>
      </c>
      <c r="G174" s="1" t="s">
        <v>15</v>
      </c>
      <c r="H174" s="1" t="s">
        <v>423</v>
      </c>
      <c r="I174" s="1"/>
      <c r="K174" s="1" t="s">
        <v>423</v>
      </c>
    </row>
    <row r="175" spans="1:11" ht="98" x14ac:dyDescent="0.15">
      <c r="A175" s="1" t="s">
        <v>410</v>
      </c>
      <c r="B175" s="2" t="s">
        <v>435</v>
      </c>
      <c r="C175" s="1" t="s">
        <v>436</v>
      </c>
      <c r="D175" s="1" t="str">
        <f t="shared" si="13"/>
        <v>T/F: It was recently discovered that many countries were making tests for COVID-19 as long ago as 2018, suggesting that some powerful people knew the coronavirus was coming many years ago.</v>
      </c>
      <c r="E175" s="1" t="s">
        <v>385</v>
      </c>
      <c r="F175" s="1" t="s">
        <v>14</v>
      </c>
      <c r="G175" s="1" t="s">
        <v>15</v>
      </c>
      <c r="H175" s="1" t="s">
        <v>437</v>
      </c>
      <c r="I175" s="1"/>
      <c r="K175" s="1" t="s">
        <v>437</v>
      </c>
    </row>
    <row r="176" spans="1:11" ht="56" x14ac:dyDescent="0.15">
      <c r="A176" s="1" t="s">
        <v>410</v>
      </c>
      <c r="B176" s="2" t="s">
        <v>438</v>
      </c>
      <c r="C176" s="1" t="s">
        <v>439</v>
      </c>
      <c r="D176" s="1" t="str">
        <f t="shared" si="13"/>
        <v>T/F: Billionaires have been paying to bail rioters out of jail so they can get back on the streets and continue rioting.</v>
      </c>
      <c r="E176" s="1" t="s">
        <v>385</v>
      </c>
      <c r="F176" s="1" t="s">
        <v>319</v>
      </c>
      <c r="G176" s="1" t="s">
        <v>15</v>
      </c>
      <c r="H176" s="1" t="s">
        <v>423</v>
      </c>
      <c r="I176" s="1"/>
      <c r="K176" s="1" t="s">
        <v>423</v>
      </c>
    </row>
    <row r="177" spans="1:11" ht="84" x14ac:dyDescent="0.15">
      <c r="A177" s="1" t="s">
        <v>410</v>
      </c>
      <c r="B177" s="2" t="s">
        <v>440</v>
      </c>
      <c r="C177" s="1" t="s">
        <v>441</v>
      </c>
      <c r="D177" s="1" t="str">
        <f t="shared" si="13"/>
        <v>T/F: Donald Trump’s campaign is taking significant safety precautions at its rallies to reduce the risk that rally attendees spread the coronavirus to each other.</v>
      </c>
      <c r="E177" s="1" t="s">
        <v>385</v>
      </c>
      <c r="F177" s="1" t="s">
        <v>335</v>
      </c>
      <c r="G177" s="1" t="s">
        <v>15</v>
      </c>
      <c r="H177" s="1" t="s">
        <v>423</v>
      </c>
      <c r="I177" s="1"/>
      <c r="J177" s="19" t="s">
        <v>1147</v>
      </c>
      <c r="K177" s="1" t="s">
        <v>423</v>
      </c>
    </row>
    <row r="178" spans="1:11" ht="56" x14ac:dyDescent="0.15">
      <c r="A178" s="1" t="s">
        <v>410</v>
      </c>
      <c r="B178" s="1" t="s">
        <v>442</v>
      </c>
      <c r="C178" s="1" t="s">
        <v>443</v>
      </c>
      <c r="D178" s="1" t="str">
        <f t="shared" si="13"/>
        <v>T/F: Israel, the United Arab Emirates, and Bahrain recently signed a Middle East peace deal at the White House.</v>
      </c>
      <c r="E178" s="1" t="s">
        <v>385</v>
      </c>
      <c r="F178" s="1" t="s">
        <v>426</v>
      </c>
      <c r="G178" s="1" t="s">
        <v>15</v>
      </c>
      <c r="H178" s="1" t="s">
        <v>423</v>
      </c>
      <c r="I178" s="1"/>
      <c r="K178" s="1" t="s">
        <v>423</v>
      </c>
    </row>
    <row r="179" spans="1:11" ht="42" x14ac:dyDescent="0.15">
      <c r="A179" s="5" t="s">
        <v>410</v>
      </c>
      <c r="B179" s="6" t="s">
        <v>444</v>
      </c>
      <c r="C179" s="5" t="s">
        <v>445</v>
      </c>
      <c r="D179" s="1" t="str">
        <f t="shared" si="13"/>
        <v xml:space="preserve">T/F: Donald Trump only paid $750 in federal income taxes the year he won the presidency. </v>
      </c>
      <c r="E179" s="5" t="s">
        <v>385</v>
      </c>
      <c r="F179" s="5" t="s">
        <v>335</v>
      </c>
      <c r="G179" s="5" t="s">
        <v>20</v>
      </c>
      <c r="H179" s="5" t="s">
        <v>446</v>
      </c>
      <c r="I179" s="1"/>
      <c r="K179" s="5" t="s">
        <v>446</v>
      </c>
    </row>
    <row r="180" spans="1:11" ht="42" x14ac:dyDescent="0.15">
      <c r="A180" s="1" t="s">
        <v>447</v>
      </c>
      <c r="B180" s="2" t="s">
        <v>448</v>
      </c>
      <c r="C180" t="s">
        <v>449</v>
      </c>
      <c r="D180" s="1" t="str">
        <f t="shared" ref="D180:D181" si="14">CONCATENATE("Ideological placement: ", B180)</f>
        <v>Ideological placement: Yourself</v>
      </c>
      <c r="E180" s="1" t="s">
        <v>135</v>
      </c>
      <c r="F180" s="1" t="s">
        <v>198</v>
      </c>
      <c r="G180" s="1" t="s">
        <v>450</v>
      </c>
      <c r="H180" s="1" t="s">
        <v>451</v>
      </c>
      <c r="I180" s="1"/>
      <c r="K180" s="1" t="s">
        <v>451</v>
      </c>
    </row>
    <row r="181" spans="1:11" ht="28" x14ac:dyDescent="0.15">
      <c r="A181" s="1" t="s">
        <v>447</v>
      </c>
      <c r="B181" s="2" t="s">
        <v>452</v>
      </c>
      <c r="C181" t="s">
        <v>453</v>
      </c>
      <c r="D181" s="1" t="str">
        <f t="shared" si="14"/>
        <v>Ideological placement: The Average American</v>
      </c>
      <c r="E181" s="1" t="s">
        <v>135</v>
      </c>
      <c r="F181" s="1" t="s">
        <v>265</v>
      </c>
      <c r="G181" s="1" t="s">
        <v>15</v>
      </c>
      <c r="H181" s="1" t="s">
        <v>454</v>
      </c>
      <c r="I181" s="1"/>
      <c r="K181" s="1" t="s">
        <v>454</v>
      </c>
    </row>
    <row r="182" spans="1:11" ht="42" x14ac:dyDescent="0.15">
      <c r="A182" s="1" t="s">
        <v>447</v>
      </c>
      <c r="B182" s="2" t="s">
        <v>455</v>
      </c>
      <c r="C182" t="s">
        <v>456</v>
      </c>
      <c r="D182" s="1" t="str">
        <f t="shared" ref="D182:D189" si="15">CONCATENATE("Ideological distance from self: ", B182)</f>
        <v>Ideological distance from self: The Average Person who Votes for Democrats</v>
      </c>
      <c r="E182" s="1" t="s">
        <v>38</v>
      </c>
      <c r="F182" s="1" t="s">
        <v>126</v>
      </c>
      <c r="G182" s="1" t="s">
        <v>15</v>
      </c>
      <c r="H182" s="25" t="s">
        <v>457</v>
      </c>
      <c r="I182" s="1"/>
      <c r="K182" s="25" t="s">
        <v>457</v>
      </c>
    </row>
    <row r="183" spans="1:11" ht="42" x14ac:dyDescent="0.15">
      <c r="A183" s="1" t="s">
        <v>447</v>
      </c>
      <c r="B183" s="2" t="s">
        <v>458</v>
      </c>
      <c r="C183" t="s">
        <v>459</v>
      </c>
      <c r="D183" s="1" t="str">
        <f t="shared" si="15"/>
        <v>Ideological distance from self: The Average Person who Votes for Republicans</v>
      </c>
      <c r="E183" s="1" t="s">
        <v>38</v>
      </c>
      <c r="F183" s="1" t="s">
        <v>195</v>
      </c>
      <c r="G183" s="1" t="s">
        <v>20</v>
      </c>
      <c r="H183" s="26"/>
      <c r="I183" s="1"/>
      <c r="K183" s="26"/>
    </row>
    <row r="184" spans="1:11" ht="28" x14ac:dyDescent="0.15">
      <c r="A184" s="1" t="s">
        <v>460</v>
      </c>
      <c r="B184" s="2" t="s">
        <v>186</v>
      </c>
      <c r="C184" t="s">
        <v>461</v>
      </c>
      <c r="D184" s="1" t="str">
        <f t="shared" si="15"/>
        <v>Ideological distance from self: President Donald Trump</v>
      </c>
      <c r="E184" s="1" t="s">
        <v>135</v>
      </c>
      <c r="F184" s="1" t="s">
        <v>136</v>
      </c>
      <c r="G184" s="1" t="s">
        <v>20</v>
      </c>
      <c r="H184" s="26"/>
      <c r="I184" s="1"/>
      <c r="K184" s="26"/>
    </row>
    <row r="185" spans="1:11" ht="28" x14ac:dyDescent="0.15">
      <c r="A185" s="1" t="s">
        <v>460</v>
      </c>
      <c r="B185" s="2" t="s">
        <v>188</v>
      </c>
      <c r="C185" t="s">
        <v>462</v>
      </c>
      <c r="D185" s="1" t="str">
        <f t="shared" si="15"/>
        <v>Ideological distance from self: Former Vice President Joe Biden</v>
      </c>
      <c r="E185" s="1" t="s">
        <v>135</v>
      </c>
      <c r="F185" s="1" t="s">
        <v>190</v>
      </c>
      <c r="G185" s="1" t="s">
        <v>15</v>
      </c>
      <c r="H185" s="26"/>
      <c r="I185" s="1"/>
      <c r="K185" s="26"/>
    </row>
    <row r="186" spans="1:11" ht="28" x14ac:dyDescent="0.15">
      <c r="A186" s="1" t="s">
        <v>460</v>
      </c>
      <c r="B186" s="2" t="s">
        <v>463</v>
      </c>
      <c r="C186" t="s">
        <v>464</v>
      </c>
      <c r="D186" s="1" t="str">
        <f t="shared" si="15"/>
        <v>Ideological distance from self: The Media in General</v>
      </c>
      <c r="E186" s="1" t="s">
        <v>85</v>
      </c>
      <c r="F186" s="1" t="s">
        <v>86</v>
      </c>
      <c r="G186" s="1" t="s">
        <v>15</v>
      </c>
      <c r="H186" s="26"/>
      <c r="I186" s="1"/>
      <c r="K186" s="26"/>
    </row>
    <row r="187" spans="1:11" ht="28" x14ac:dyDescent="0.15">
      <c r="A187" s="1" t="s">
        <v>460</v>
      </c>
      <c r="B187" s="2" t="s">
        <v>17</v>
      </c>
      <c r="C187" t="s">
        <v>465</v>
      </c>
      <c r="D187" s="1" t="str">
        <f t="shared" si="15"/>
        <v>Ideological distance from self: CNN</v>
      </c>
      <c r="E187" s="1" t="s">
        <v>85</v>
      </c>
      <c r="F187" s="1" t="s">
        <v>94</v>
      </c>
      <c r="G187" s="1" t="s">
        <v>15</v>
      </c>
      <c r="H187" s="26"/>
      <c r="I187" s="1"/>
      <c r="K187" s="26"/>
    </row>
    <row r="188" spans="1:11" ht="28" x14ac:dyDescent="0.15">
      <c r="A188" s="1" t="s">
        <v>460</v>
      </c>
      <c r="B188" s="2" t="s">
        <v>10</v>
      </c>
      <c r="C188" t="s">
        <v>466</v>
      </c>
      <c r="D188" s="1" t="str">
        <f t="shared" si="15"/>
        <v>Ideological distance from self: Fox News</v>
      </c>
      <c r="E188" s="1" t="s">
        <v>85</v>
      </c>
      <c r="F188" s="1" t="s">
        <v>89</v>
      </c>
      <c r="G188" s="1" t="s">
        <v>20</v>
      </c>
      <c r="H188" s="26"/>
      <c r="I188" s="1"/>
      <c r="K188" s="26"/>
    </row>
    <row r="189" spans="1:11" ht="28" x14ac:dyDescent="0.15">
      <c r="A189" s="1" t="s">
        <v>460</v>
      </c>
      <c r="B189" s="2" t="s">
        <v>31</v>
      </c>
      <c r="C189" t="s">
        <v>467</v>
      </c>
      <c r="D189" s="1" t="str">
        <f t="shared" si="15"/>
        <v>Ideological distance from self: MSNBC</v>
      </c>
      <c r="E189" s="1" t="s">
        <v>42</v>
      </c>
      <c r="F189" s="1" t="s">
        <v>14</v>
      </c>
      <c r="G189" s="1" t="s">
        <v>20</v>
      </c>
      <c r="H189" s="26"/>
      <c r="I189" s="1"/>
      <c r="K189" s="26"/>
    </row>
    <row r="190" spans="1:11" ht="42" x14ac:dyDescent="0.15">
      <c r="A190" s="1" t="s">
        <v>468</v>
      </c>
      <c r="B190" s="1" t="s">
        <v>469</v>
      </c>
      <c r="C190" s="1" t="s">
        <v>470</v>
      </c>
      <c r="D190" s="1" t="s">
        <v>471</v>
      </c>
      <c r="E190" s="1" t="s">
        <v>24</v>
      </c>
      <c r="F190" s="1" t="s">
        <v>14</v>
      </c>
      <c r="G190" s="1" t="s">
        <v>15</v>
      </c>
      <c r="H190" s="1" t="s">
        <v>472</v>
      </c>
      <c r="I190" s="1"/>
      <c r="K190" s="1" t="s">
        <v>472</v>
      </c>
    </row>
    <row r="191" spans="1:11" ht="42" x14ac:dyDescent="0.15">
      <c r="A191" s="1" t="s">
        <v>468</v>
      </c>
      <c r="B191" s="1" t="s">
        <v>473</v>
      </c>
      <c r="C191" s="1" t="s">
        <v>474</v>
      </c>
      <c r="D191" s="1" t="s">
        <v>475</v>
      </c>
      <c r="E191" s="1" t="s">
        <v>24</v>
      </c>
      <c r="F191" s="1" t="s">
        <v>25</v>
      </c>
      <c r="G191" s="1" t="s">
        <v>15</v>
      </c>
      <c r="H191" s="1" t="s">
        <v>472</v>
      </c>
      <c r="I191" s="1">
        <v>1</v>
      </c>
      <c r="K191" s="1" t="s">
        <v>472</v>
      </c>
    </row>
    <row r="192" spans="1:11" ht="56" x14ac:dyDescent="0.15">
      <c r="A192" s="1" t="s">
        <v>476</v>
      </c>
      <c r="B192" s="1" t="s">
        <v>477</v>
      </c>
      <c r="C192" s="1" t="s">
        <v>478</v>
      </c>
      <c r="D192" s="1" t="str">
        <f>B192</f>
        <v>2020 Presidential Election Candidate Support Scale</v>
      </c>
      <c r="E192" s="1" t="s">
        <v>135</v>
      </c>
      <c r="F192" s="1" t="s">
        <v>198</v>
      </c>
      <c r="G192" s="1" t="s">
        <v>366</v>
      </c>
      <c r="H192" s="1" t="s">
        <v>479</v>
      </c>
      <c r="I192" s="1"/>
      <c r="K192" s="1" t="s">
        <v>479</v>
      </c>
    </row>
    <row r="193" spans="1:11" ht="42" x14ac:dyDescent="0.15">
      <c r="A193" s="1" t="s">
        <v>480</v>
      </c>
      <c r="B193" s="1" t="s">
        <v>10</v>
      </c>
      <c r="C193" s="1" t="s">
        <v>481</v>
      </c>
      <c r="D193" s="1" t="s">
        <v>482</v>
      </c>
      <c r="E193" s="1" t="s">
        <v>13</v>
      </c>
      <c r="F193" s="1" t="s">
        <v>14</v>
      </c>
      <c r="G193" s="1" t="s">
        <v>483</v>
      </c>
      <c r="H193" s="1"/>
      <c r="I193" s="1">
        <v>1</v>
      </c>
      <c r="K193" s="1" t="s">
        <v>1435</v>
      </c>
    </row>
    <row r="194" spans="1:11" ht="42" x14ac:dyDescent="0.15">
      <c r="A194" s="1" t="s">
        <v>480</v>
      </c>
      <c r="B194" s="1" t="s">
        <v>17</v>
      </c>
      <c r="C194" s="1" t="s">
        <v>484</v>
      </c>
      <c r="D194" s="1" t="s">
        <v>485</v>
      </c>
      <c r="E194" s="1" t="s">
        <v>13</v>
      </c>
      <c r="F194" s="1" t="s">
        <v>14</v>
      </c>
      <c r="G194" s="1" t="s">
        <v>486</v>
      </c>
      <c r="H194" s="1"/>
      <c r="I194" s="1">
        <v>1</v>
      </c>
      <c r="K194" s="1" t="s">
        <v>1435</v>
      </c>
    </row>
    <row r="195" spans="1:11" ht="84" x14ac:dyDescent="0.15">
      <c r="A195" s="1" t="s">
        <v>487</v>
      </c>
      <c r="B195" s="1"/>
      <c r="C195" s="1"/>
      <c r="D195" s="1" t="s">
        <v>488</v>
      </c>
      <c r="E195" s="1" t="s">
        <v>14</v>
      </c>
      <c r="F195" s="1" t="s">
        <v>14</v>
      </c>
      <c r="G195" s="1"/>
      <c r="H195" s="1" t="s">
        <v>489</v>
      </c>
      <c r="I195" s="1" t="s">
        <v>490</v>
      </c>
      <c r="K195" s="1" t="s">
        <v>1370</v>
      </c>
    </row>
    <row r="196" spans="1:11" ht="13" x14ac:dyDescent="0.15">
      <c r="B196" s="1"/>
      <c r="C196" s="1"/>
      <c r="D196" s="1">
        <f t="shared" ref="D196:D205" si="16">B196</f>
        <v>0</v>
      </c>
      <c r="E196" s="1"/>
      <c r="F196" s="1"/>
      <c r="G196" s="1"/>
      <c r="H196" s="1"/>
      <c r="I196" s="1"/>
    </row>
    <row r="197" spans="1:11" ht="42" x14ac:dyDescent="0.15">
      <c r="A197" s="1" t="s">
        <v>491</v>
      </c>
      <c r="B197" s="1" t="s">
        <v>492</v>
      </c>
      <c r="C197" s="1"/>
      <c r="D197" s="1" t="str">
        <f t="shared" si="16"/>
        <v>log(CNN minutes + 1) for all data from first to last incentivized day</v>
      </c>
      <c r="E197" s="1" t="s">
        <v>24</v>
      </c>
      <c r="F197" s="1" t="s">
        <v>14</v>
      </c>
      <c r="G197" s="1"/>
      <c r="H197" s="1" t="s">
        <v>493</v>
      </c>
      <c r="I197" s="1"/>
      <c r="K197" s="1" t="s">
        <v>1370</v>
      </c>
    </row>
    <row r="198" spans="1:11" ht="70" x14ac:dyDescent="0.15">
      <c r="A198" s="1" t="s">
        <v>491</v>
      </c>
      <c r="B198" s="1" t="s">
        <v>494</v>
      </c>
      <c r="C198" s="1"/>
      <c r="D198" s="1" t="str">
        <f t="shared" si="16"/>
        <v>log(CNN minutes + 1) for every week following the quizzes, with the first week beginning with the day after the last quiz (Saturday, Sept 26)</v>
      </c>
      <c r="E198" s="1" t="s">
        <v>13</v>
      </c>
      <c r="F198" s="1" t="s">
        <v>14</v>
      </c>
      <c r="G198" s="1"/>
      <c r="H198" s="1"/>
      <c r="I198" s="1"/>
      <c r="K198" s="1" t="s">
        <v>1370</v>
      </c>
    </row>
    <row r="199" spans="1:11" ht="56" x14ac:dyDescent="0.15">
      <c r="A199" s="1" t="s">
        <v>491</v>
      </c>
      <c r="B199" s="1" t="s">
        <v>495</v>
      </c>
      <c r="C199" s="1"/>
      <c r="D199" s="1" t="str">
        <f t="shared" si="16"/>
        <v>log(CNN minutes + 1) for the period between Saturday, Sept 26 and when the viewership data ends</v>
      </c>
      <c r="E199" s="1" t="s">
        <v>13</v>
      </c>
      <c r="F199" s="1" t="s">
        <v>14</v>
      </c>
      <c r="G199" s="1"/>
      <c r="H199" s="1"/>
      <c r="I199" s="1"/>
      <c r="K199" s="1" t="s">
        <v>1370</v>
      </c>
    </row>
    <row r="200" spans="1:11" ht="70" x14ac:dyDescent="0.15">
      <c r="A200" s="1" t="s">
        <v>491</v>
      </c>
      <c r="B200" s="1" t="s">
        <v>496</v>
      </c>
      <c r="C200" s="1"/>
      <c r="D200" s="1" t="str">
        <f t="shared" si="16"/>
        <v>log(Fox minutes + 1) for every week following the quizzes, with the first week beginning with the day after the last quiz (Saturday, Sept 26)</v>
      </c>
      <c r="E200" s="1" t="s">
        <v>24</v>
      </c>
      <c r="F200" s="1" t="s">
        <v>14</v>
      </c>
      <c r="G200" s="1"/>
      <c r="H200" s="1" t="s">
        <v>493</v>
      </c>
      <c r="I200" s="1"/>
      <c r="K200" s="1" t="s">
        <v>1370</v>
      </c>
    </row>
    <row r="201" spans="1:11" ht="70" x14ac:dyDescent="0.15">
      <c r="A201" s="1" t="s">
        <v>491</v>
      </c>
      <c r="B201" s="1" t="s">
        <v>496</v>
      </c>
      <c r="C201" s="1"/>
      <c r="D201" s="1" t="str">
        <f t="shared" si="16"/>
        <v>log(Fox minutes + 1) for every week following the quizzes, with the first week beginning with the day after the last quiz (Saturday, Sept 26)</v>
      </c>
      <c r="E201" s="1" t="s">
        <v>13</v>
      </c>
      <c r="F201" s="1" t="s">
        <v>14</v>
      </c>
      <c r="G201" s="1"/>
      <c r="H201" s="1"/>
      <c r="I201" s="1"/>
      <c r="K201" s="1" t="s">
        <v>1370</v>
      </c>
    </row>
    <row r="202" spans="1:11" ht="56" x14ac:dyDescent="0.15">
      <c r="A202" s="1" t="s">
        <v>491</v>
      </c>
      <c r="B202" s="1" t="s">
        <v>497</v>
      </c>
      <c r="C202" s="1"/>
      <c r="D202" s="1" t="str">
        <f t="shared" si="16"/>
        <v>log(Fox minutes + 1) for the period between Saturday, Sept 26 and when the viewership data ends</v>
      </c>
      <c r="E202" s="1" t="s">
        <v>13</v>
      </c>
      <c r="F202" s="1" t="s">
        <v>14</v>
      </c>
      <c r="G202" s="1"/>
      <c r="H202" s="1"/>
      <c r="I202" s="1"/>
      <c r="K202" s="1" t="s">
        <v>1370</v>
      </c>
    </row>
    <row r="203" spans="1:11" ht="70" x14ac:dyDescent="0.15">
      <c r="A203" s="1" t="s">
        <v>491</v>
      </c>
      <c r="B203" s="1" t="s">
        <v>498</v>
      </c>
      <c r="C203" s="1"/>
      <c r="D203" s="1" t="str">
        <f t="shared" si="16"/>
        <v>log(All TV minutes + 1) for every week following the quizzes, with the first week beginning with the day after the last quiz (Saturday, Sept 26)</v>
      </c>
      <c r="E203" s="1" t="s">
        <v>24</v>
      </c>
      <c r="F203" s="1" t="s">
        <v>14</v>
      </c>
      <c r="G203" s="1"/>
      <c r="H203" s="1" t="s">
        <v>493</v>
      </c>
      <c r="I203" s="1"/>
      <c r="K203" s="1" t="s">
        <v>1370</v>
      </c>
    </row>
    <row r="204" spans="1:11" ht="70" x14ac:dyDescent="0.15">
      <c r="A204" s="1" t="s">
        <v>491</v>
      </c>
      <c r="B204" s="1" t="s">
        <v>498</v>
      </c>
      <c r="C204" s="1"/>
      <c r="D204" s="1" t="str">
        <f t="shared" si="16"/>
        <v>log(All TV minutes + 1) for every week following the quizzes, with the first week beginning with the day after the last quiz (Saturday, Sept 26)</v>
      </c>
      <c r="E204" s="1" t="s">
        <v>13</v>
      </c>
      <c r="F204" s="1" t="s">
        <v>14</v>
      </c>
      <c r="G204" s="1"/>
      <c r="H204" s="1"/>
      <c r="I204" s="1"/>
      <c r="K204" s="1" t="s">
        <v>1370</v>
      </c>
    </row>
    <row r="205" spans="1:11" ht="56" x14ac:dyDescent="0.15">
      <c r="A205" s="1" t="s">
        <v>491</v>
      </c>
      <c r="B205" s="1" t="s">
        <v>499</v>
      </c>
      <c r="C205" s="1"/>
      <c r="D205" s="1" t="str">
        <f t="shared" si="16"/>
        <v>log(All TV minutes + 1) for the period between Saturday, Sept 26 and when the viewership data ends</v>
      </c>
      <c r="E205" s="1" t="s">
        <v>13</v>
      </c>
      <c r="F205" s="1"/>
      <c r="G205" s="1"/>
      <c r="H205" s="1"/>
      <c r="I205" s="1"/>
      <c r="K205" s="1" t="s">
        <v>1370</v>
      </c>
    </row>
  </sheetData>
  <mergeCells count="2">
    <mergeCell ref="H182:H189"/>
    <mergeCell ref="K182:K189"/>
  </mergeCells>
  <phoneticPr fontId="13" type="noConversion"/>
  <hyperlinks>
    <hyperlink ref="D16" r:id="rId1" xr:uid="{00000000-0004-0000-0000-000000000000}"/>
    <hyperlink ref="D17" r:id="rId2" xr:uid="{00000000-0004-0000-0000-000001000000}"/>
  </hyperlink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L179"/>
  <sheetViews>
    <sheetView workbookViewId="0">
      <pane ySplit="1" topLeftCell="A2" activePane="bottomLeft" state="frozen"/>
      <selection pane="bottomLeft" activeCell="D6" sqref="D6"/>
    </sheetView>
  </sheetViews>
  <sheetFormatPr baseColWidth="10" defaultColWidth="12.6640625" defaultRowHeight="15.75" customHeight="1" x14ac:dyDescent="0.15"/>
  <cols>
    <col min="1" max="1" width="5.5" customWidth="1"/>
    <col min="2" max="2" width="37.5" customWidth="1"/>
    <col min="3" max="3" width="24.6640625" bestFit="1" customWidth="1"/>
    <col min="4" max="4" width="144" bestFit="1" customWidth="1"/>
    <col min="5" max="5" width="22.83203125" bestFit="1" customWidth="1"/>
    <col min="6" max="6" width="27" bestFit="1" customWidth="1"/>
    <col min="7" max="7" width="15" bestFit="1" customWidth="1"/>
    <col min="8" max="8" width="13.5" bestFit="1" customWidth="1"/>
    <col min="9" max="9" width="91.83203125" bestFit="1" customWidth="1"/>
    <col min="10" max="10" width="30" bestFit="1" customWidth="1"/>
    <col min="11" max="11" width="22" bestFit="1" customWidth="1"/>
    <col min="12" max="12" width="95.33203125" bestFit="1" customWidth="1"/>
  </cols>
  <sheetData>
    <row r="1" spans="1:12" ht="15.75" customHeight="1" x14ac:dyDescent="0.15">
      <c r="A1" s="1" t="s">
        <v>0</v>
      </c>
      <c r="B1" s="1" t="s">
        <v>1</v>
      </c>
      <c r="C1" s="1" t="s">
        <v>2</v>
      </c>
      <c r="D1" s="1" t="s">
        <v>3</v>
      </c>
      <c r="E1" s="1" t="s">
        <v>4</v>
      </c>
      <c r="F1" s="1" t="s">
        <v>5</v>
      </c>
      <c r="G1" s="1" t="s">
        <v>500</v>
      </c>
      <c r="H1" s="1" t="s">
        <v>6</v>
      </c>
      <c r="I1" s="1" t="s">
        <v>501</v>
      </c>
      <c r="J1" s="1" t="s">
        <v>7</v>
      </c>
      <c r="K1" s="1" t="s">
        <v>8</v>
      </c>
      <c r="L1" s="1" t="s">
        <v>772</v>
      </c>
    </row>
    <row r="2" spans="1:12" ht="15.75" customHeight="1" x14ac:dyDescent="0.15">
      <c r="A2" s="1" t="s">
        <v>49</v>
      </c>
      <c r="B2" s="2" t="s">
        <v>50</v>
      </c>
      <c r="C2" s="1" t="s">
        <v>51</v>
      </c>
      <c r="D2" s="1" t="s">
        <v>52</v>
      </c>
      <c r="E2" s="1" t="s">
        <v>53</v>
      </c>
      <c r="F2" s="1" t="s">
        <v>53</v>
      </c>
      <c r="G2" s="1">
        <v>1</v>
      </c>
      <c r="H2" s="1" t="s">
        <v>14</v>
      </c>
      <c r="I2" s="1"/>
      <c r="J2" s="1"/>
      <c r="K2" s="1"/>
      <c r="L2" s="1" t="s">
        <v>1429</v>
      </c>
    </row>
    <row r="3" spans="1:12" ht="15.75" customHeight="1" x14ac:dyDescent="0.15">
      <c r="A3" s="1" t="s">
        <v>49</v>
      </c>
      <c r="B3" s="2" t="s">
        <v>54</v>
      </c>
      <c r="C3" s="1" t="s">
        <v>55</v>
      </c>
      <c r="D3" s="1" t="s">
        <v>56</v>
      </c>
      <c r="E3" s="1" t="s">
        <v>53</v>
      </c>
      <c r="F3" s="1" t="s">
        <v>53</v>
      </c>
      <c r="G3" s="1">
        <v>1</v>
      </c>
      <c r="H3" s="1" t="s">
        <v>14</v>
      </c>
      <c r="I3" s="1"/>
      <c r="J3" s="1"/>
      <c r="K3" s="1"/>
      <c r="L3" s="1" t="s">
        <v>1429</v>
      </c>
    </row>
    <row r="4" spans="1:12" ht="15.75" customHeight="1" x14ac:dyDescent="0.15">
      <c r="A4" s="1" t="s">
        <v>49</v>
      </c>
      <c r="B4" s="2" t="s">
        <v>57</v>
      </c>
      <c r="C4" s="1" t="s">
        <v>58</v>
      </c>
      <c r="D4" s="1" t="s">
        <v>59</v>
      </c>
      <c r="E4" s="1" t="s">
        <v>53</v>
      </c>
      <c r="F4" s="1" t="s">
        <v>53</v>
      </c>
      <c r="G4" s="1">
        <v>1</v>
      </c>
      <c r="H4" s="1" t="s">
        <v>14</v>
      </c>
      <c r="I4" s="1"/>
      <c r="J4" s="1"/>
      <c r="K4" s="1"/>
      <c r="L4" s="1" t="s">
        <v>1429</v>
      </c>
    </row>
    <row r="5" spans="1:12" ht="15.75" customHeight="1" x14ac:dyDescent="0.15">
      <c r="A5" s="1" t="s">
        <v>49</v>
      </c>
      <c r="B5" s="2" t="s">
        <v>60</v>
      </c>
      <c r="C5" s="1" t="s">
        <v>61</v>
      </c>
      <c r="D5" s="1" t="s">
        <v>62</v>
      </c>
      <c r="E5" s="1" t="s">
        <v>53</v>
      </c>
      <c r="F5" s="1" t="s">
        <v>53</v>
      </c>
      <c r="G5" s="1">
        <v>1</v>
      </c>
      <c r="H5" s="1" t="s">
        <v>14</v>
      </c>
      <c r="I5" s="1"/>
      <c r="J5" s="1"/>
      <c r="K5" s="1"/>
      <c r="L5" s="1" t="s">
        <v>1429</v>
      </c>
    </row>
    <row r="6" spans="1:12" ht="15.75" customHeight="1" x14ac:dyDescent="0.15">
      <c r="A6" s="1" t="s">
        <v>49</v>
      </c>
      <c r="B6" s="2" t="s">
        <v>63</v>
      </c>
      <c r="C6" s="1" t="s">
        <v>64</v>
      </c>
      <c r="D6" s="1" t="s">
        <v>65</v>
      </c>
      <c r="E6" s="1" t="s">
        <v>53</v>
      </c>
      <c r="F6" s="1" t="s">
        <v>53</v>
      </c>
      <c r="G6" s="1">
        <v>1</v>
      </c>
      <c r="H6" s="1" t="s">
        <v>14</v>
      </c>
      <c r="I6" s="1"/>
      <c r="J6" s="1"/>
      <c r="K6" s="1"/>
      <c r="L6" s="1" t="s">
        <v>1429</v>
      </c>
    </row>
    <row r="7" spans="1:12" ht="15.75" customHeight="1" x14ac:dyDescent="0.15">
      <c r="A7" s="1" t="s">
        <v>49</v>
      </c>
      <c r="B7" s="2" t="s">
        <v>66</v>
      </c>
      <c r="C7" s="1" t="s">
        <v>67</v>
      </c>
      <c r="D7" s="4" t="s">
        <v>502</v>
      </c>
      <c r="E7" s="1" t="s">
        <v>53</v>
      </c>
      <c r="F7" s="1" t="s">
        <v>53</v>
      </c>
      <c r="G7" s="1">
        <v>1</v>
      </c>
      <c r="H7" s="1" t="s">
        <v>14</v>
      </c>
      <c r="I7" s="1"/>
      <c r="J7" s="1"/>
      <c r="K7" s="1"/>
      <c r="L7" s="1" t="s">
        <v>1429</v>
      </c>
    </row>
    <row r="8" spans="1:12" ht="15.75" customHeight="1" x14ac:dyDescent="0.15">
      <c r="A8" s="1" t="s">
        <v>49</v>
      </c>
      <c r="B8" s="2" t="s">
        <v>69</v>
      </c>
      <c r="C8" s="1" t="s">
        <v>70</v>
      </c>
      <c r="D8" s="4" t="s">
        <v>503</v>
      </c>
      <c r="E8" s="1" t="s">
        <v>53</v>
      </c>
      <c r="F8" s="1" t="s">
        <v>53</v>
      </c>
      <c r="G8" s="1">
        <v>1</v>
      </c>
      <c r="H8" s="1" t="s">
        <v>14</v>
      </c>
      <c r="I8" s="1"/>
      <c r="J8" s="1"/>
      <c r="K8" s="1"/>
      <c r="L8" s="1" t="s">
        <v>1429</v>
      </c>
    </row>
    <row r="9" spans="1:12" ht="15.75" customHeight="1" x14ac:dyDescent="0.15">
      <c r="A9" s="1" t="s">
        <v>49</v>
      </c>
      <c r="B9" s="2" t="s">
        <v>72</v>
      </c>
      <c r="C9" s="1" t="s">
        <v>73</v>
      </c>
      <c r="D9" s="1" t="s">
        <v>74</v>
      </c>
      <c r="E9" s="1" t="s">
        <v>53</v>
      </c>
      <c r="F9" s="1" t="s">
        <v>53</v>
      </c>
      <c r="G9" s="1">
        <v>1</v>
      </c>
      <c r="H9" s="1" t="s">
        <v>14</v>
      </c>
      <c r="I9" s="1"/>
      <c r="J9" s="1"/>
      <c r="K9" s="1"/>
      <c r="L9" s="1" t="s">
        <v>1429</v>
      </c>
    </row>
    <row r="10" spans="1:12" ht="15.75" customHeight="1" x14ac:dyDescent="0.15">
      <c r="A10" s="1" t="s">
        <v>49</v>
      </c>
      <c r="B10" s="2" t="s">
        <v>75</v>
      </c>
      <c r="C10" s="1" t="s">
        <v>76</v>
      </c>
      <c r="D10" s="1" t="s">
        <v>77</v>
      </c>
      <c r="E10" s="1" t="s">
        <v>53</v>
      </c>
      <c r="F10" s="1" t="s">
        <v>53</v>
      </c>
      <c r="G10" s="1">
        <v>1</v>
      </c>
      <c r="H10" s="1" t="s">
        <v>14</v>
      </c>
      <c r="I10" s="1"/>
      <c r="J10" s="1"/>
      <c r="K10" s="1"/>
      <c r="L10" s="1" t="s">
        <v>1429</v>
      </c>
    </row>
    <row r="11" spans="1:12" ht="15.75" customHeight="1" x14ac:dyDescent="0.15">
      <c r="A11" s="1" t="s">
        <v>49</v>
      </c>
      <c r="B11" s="2" t="s">
        <v>78</v>
      </c>
      <c r="C11" s="1" t="s">
        <v>79</v>
      </c>
      <c r="D11" s="1" t="s">
        <v>80</v>
      </c>
      <c r="E11" s="1" t="s">
        <v>53</v>
      </c>
      <c r="F11" s="1" t="s">
        <v>53</v>
      </c>
      <c r="G11" s="1">
        <v>1</v>
      </c>
      <c r="H11" s="1" t="s">
        <v>14</v>
      </c>
      <c r="I11" s="1"/>
      <c r="J11" s="1"/>
      <c r="K11" s="1"/>
      <c r="L11" s="1" t="s">
        <v>1429</v>
      </c>
    </row>
    <row r="12" spans="1:12" ht="15.75" customHeight="1" x14ac:dyDescent="0.15">
      <c r="A12" s="1" t="s">
        <v>81</v>
      </c>
      <c r="B12" s="2" t="s">
        <v>17</v>
      </c>
      <c r="C12" s="1" t="s">
        <v>92</v>
      </c>
      <c r="D12" s="1" t="s">
        <v>93</v>
      </c>
      <c r="E12" s="1" t="s">
        <v>85</v>
      </c>
      <c r="F12" s="1" t="s">
        <v>94</v>
      </c>
      <c r="G12" s="1">
        <v>1</v>
      </c>
      <c r="H12" s="1" t="s">
        <v>20</v>
      </c>
      <c r="I12" s="1"/>
      <c r="J12" s="1"/>
      <c r="K12" s="1">
        <v>1</v>
      </c>
      <c r="L12" s="1" t="s">
        <v>1430</v>
      </c>
    </row>
    <row r="13" spans="1:12" ht="15.75" customHeight="1" x14ac:dyDescent="0.15">
      <c r="A13" s="1" t="s">
        <v>81</v>
      </c>
      <c r="B13" s="2" t="s">
        <v>10</v>
      </c>
      <c r="C13" s="1" t="s">
        <v>87</v>
      </c>
      <c r="D13" s="1" t="s">
        <v>88</v>
      </c>
      <c r="E13" s="1" t="s">
        <v>85</v>
      </c>
      <c r="F13" s="1" t="s">
        <v>89</v>
      </c>
      <c r="G13" s="1">
        <v>1</v>
      </c>
      <c r="H13" s="1" t="s">
        <v>15</v>
      </c>
      <c r="I13" s="1"/>
      <c r="J13" s="1"/>
      <c r="K13" s="1">
        <v>1</v>
      </c>
      <c r="L13" s="1" t="s">
        <v>1430</v>
      </c>
    </row>
    <row r="14" spans="1:12" ht="15.75" customHeight="1" x14ac:dyDescent="0.15">
      <c r="A14" s="1" t="s">
        <v>81</v>
      </c>
      <c r="B14" s="3" t="s">
        <v>82</v>
      </c>
      <c r="C14" s="1" t="s">
        <v>83</v>
      </c>
      <c r="D14" s="1" t="s">
        <v>84</v>
      </c>
      <c r="E14" s="1" t="s">
        <v>85</v>
      </c>
      <c r="F14" s="1" t="s">
        <v>86</v>
      </c>
      <c r="G14" s="1">
        <v>1</v>
      </c>
      <c r="H14" s="1" t="s">
        <v>20</v>
      </c>
      <c r="I14" s="1"/>
      <c r="J14" s="1"/>
      <c r="K14" s="1">
        <v>1</v>
      </c>
      <c r="L14" s="1" t="s">
        <v>1430</v>
      </c>
    </row>
    <row r="15" spans="1:12" ht="15.75" customHeight="1" x14ac:dyDescent="0.15">
      <c r="A15" s="1" t="s">
        <v>95</v>
      </c>
      <c r="B15" s="3" t="s">
        <v>96</v>
      </c>
      <c r="C15" s="1" t="s">
        <v>97</v>
      </c>
      <c r="D15" s="1" t="str">
        <f t="shared" ref="D15:D18" si="0">B15</f>
        <v>Fox News only covers news stories that help Republicans.</v>
      </c>
      <c r="E15" s="1" t="s">
        <v>85</v>
      </c>
      <c r="F15" s="1" t="s">
        <v>89</v>
      </c>
      <c r="G15" s="1">
        <v>1</v>
      </c>
      <c r="H15" s="1" t="s">
        <v>20</v>
      </c>
      <c r="I15" s="1"/>
      <c r="J15" s="1"/>
      <c r="K15" s="1"/>
      <c r="L15" s="1" t="s">
        <v>1431</v>
      </c>
    </row>
    <row r="16" spans="1:12" ht="15.75" customHeight="1" x14ac:dyDescent="0.15">
      <c r="A16" s="1" t="s">
        <v>95</v>
      </c>
      <c r="B16" s="3" t="s">
        <v>100</v>
      </c>
      <c r="C16" s="1" t="s">
        <v>101</v>
      </c>
      <c r="D16" s="1" t="str">
        <f t="shared" si="0"/>
        <v>If Donald Trump did something bad, Fox News would discuss it.</v>
      </c>
      <c r="E16" s="1" t="s">
        <v>85</v>
      </c>
      <c r="F16" s="1" t="s">
        <v>89</v>
      </c>
      <c r="G16" s="1">
        <v>1</v>
      </c>
      <c r="H16" s="1" t="s">
        <v>15</v>
      </c>
      <c r="I16" s="1"/>
      <c r="J16" s="1"/>
      <c r="K16" s="1"/>
      <c r="L16" s="1" t="s">
        <v>1431</v>
      </c>
    </row>
    <row r="17" spans="1:12" ht="15.75" customHeight="1" x14ac:dyDescent="0.15">
      <c r="A17" s="1" t="s">
        <v>95</v>
      </c>
      <c r="B17" s="3" t="s">
        <v>104</v>
      </c>
      <c r="C17" s="1" t="s">
        <v>105</v>
      </c>
      <c r="D17" s="1" t="str">
        <f t="shared" si="0"/>
        <v>When covering important news stories, Fox News tells the whole story.</v>
      </c>
      <c r="E17" s="1" t="s">
        <v>85</v>
      </c>
      <c r="F17" s="1" t="s">
        <v>89</v>
      </c>
      <c r="G17" s="1">
        <v>1</v>
      </c>
      <c r="H17" s="1" t="s">
        <v>15</v>
      </c>
      <c r="I17" s="1"/>
      <c r="J17" s="1"/>
      <c r="K17" s="1"/>
      <c r="L17" s="1" t="s">
        <v>1431</v>
      </c>
    </row>
    <row r="18" spans="1:12" ht="15.75" customHeight="1" x14ac:dyDescent="0.15">
      <c r="A18" s="1" t="s">
        <v>95</v>
      </c>
      <c r="B18" s="3" t="s">
        <v>112</v>
      </c>
      <c r="C18" s="1" t="s">
        <v>113</v>
      </c>
      <c r="D18" s="1" t="str">
        <f t="shared" si="0"/>
        <v>Fox News is good for society.</v>
      </c>
      <c r="E18" s="1" t="s">
        <v>85</v>
      </c>
      <c r="F18" s="1" t="s">
        <v>89</v>
      </c>
      <c r="G18" s="1">
        <v>1</v>
      </c>
      <c r="H18" s="1" t="s">
        <v>15</v>
      </c>
      <c r="I18" s="1"/>
      <c r="J18" s="1"/>
      <c r="K18" s="1"/>
      <c r="L18" s="1" t="s">
        <v>1431</v>
      </c>
    </row>
    <row r="19" spans="1:12" ht="15.75" customHeight="1" x14ac:dyDescent="0.15">
      <c r="A19" s="1" t="s">
        <v>127</v>
      </c>
      <c r="B19" s="7"/>
      <c r="C19" s="1" t="s">
        <v>128</v>
      </c>
      <c r="D19" s="1" t="s">
        <v>129</v>
      </c>
      <c r="E19" s="1" t="s">
        <v>130</v>
      </c>
      <c r="F19" s="1" t="s">
        <v>130</v>
      </c>
      <c r="G19" s="1">
        <v>1</v>
      </c>
      <c r="H19" s="1" t="s">
        <v>15</v>
      </c>
      <c r="I19" s="1"/>
      <c r="J19" s="1" t="s">
        <v>131</v>
      </c>
      <c r="K19" s="1">
        <v>1</v>
      </c>
      <c r="L19" s="22" t="s">
        <v>1432</v>
      </c>
    </row>
    <row r="20" spans="1:12" ht="15.75" customHeight="1" x14ac:dyDescent="0.15">
      <c r="A20" s="1" t="s">
        <v>132</v>
      </c>
      <c r="B20" s="3" t="s">
        <v>133</v>
      </c>
      <c r="C20" s="1" t="s">
        <v>134</v>
      </c>
      <c r="D20" s="1" t="str">
        <f t="shared" ref="D20:D28" si="1">_xlfn.CONCAT("Trump evaluation: ", B20)</f>
        <v>Trump evaluation: Managing the coronavirus pandemic</v>
      </c>
      <c r="E20" s="1" t="s">
        <v>135</v>
      </c>
      <c r="F20" s="1" t="s">
        <v>136</v>
      </c>
      <c r="G20" s="1">
        <v>1</v>
      </c>
      <c r="H20" s="1" t="s">
        <v>15</v>
      </c>
      <c r="I20" s="1"/>
      <c r="J20" s="1"/>
      <c r="K20" s="1"/>
      <c r="L20" s="22" t="s">
        <v>1432</v>
      </c>
    </row>
    <row r="21" spans="1:12" ht="15.75" customHeight="1" x14ac:dyDescent="0.15">
      <c r="A21" s="1" t="s">
        <v>132</v>
      </c>
      <c r="B21" s="3" t="s">
        <v>137</v>
      </c>
      <c r="C21" s="1" t="s">
        <v>138</v>
      </c>
      <c r="D21" s="1" t="str">
        <f t="shared" si="1"/>
        <v>Trump evaluation: Encouraging good relationships between different racial groups in the US</v>
      </c>
      <c r="E21" s="1" t="s">
        <v>135</v>
      </c>
      <c r="F21" s="1" t="s">
        <v>136</v>
      </c>
      <c r="G21" s="1">
        <v>1</v>
      </c>
      <c r="H21" s="1" t="s">
        <v>15</v>
      </c>
      <c r="I21" s="1"/>
      <c r="J21" s="1"/>
      <c r="K21" s="1"/>
      <c r="L21" s="22" t="s">
        <v>1432</v>
      </c>
    </row>
    <row r="22" spans="1:12" ht="15.75" customHeight="1" x14ac:dyDescent="0.15">
      <c r="A22" s="1" t="s">
        <v>132</v>
      </c>
      <c r="B22" s="2" t="s">
        <v>139</v>
      </c>
      <c r="C22" s="1" t="s">
        <v>140</v>
      </c>
      <c r="D22" s="1" t="str">
        <f t="shared" si="1"/>
        <v>Trump evaluation: Managing the economy</v>
      </c>
      <c r="E22" s="1" t="s">
        <v>135</v>
      </c>
      <c r="F22" s="1" t="s">
        <v>136</v>
      </c>
      <c r="G22" s="1">
        <v>1</v>
      </c>
      <c r="H22" s="1" t="s">
        <v>15</v>
      </c>
      <c r="I22" s="1"/>
      <c r="J22" s="1"/>
      <c r="K22" s="1"/>
      <c r="L22" s="22" t="s">
        <v>1432</v>
      </c>
    </row>
    <row r="23" spans="1:12" ht="15.75" customHeight="1" x14ac:dyDescent="0.15">
      <c r="A23" s="1" t="s">
        <v>132</v>
      </c>
      <c r="B23" s="2" t="s">
        <v>141</v>
      </c>
      <c r="C23" s="1" t="s">
        <v>142</v>
      </c>
      <c r="D23" s="1" t="str">
        <f t="shared" si="1"/>
        <v>Trump evaluation: The environment and climate change</v>
      </c>
      <c r="E23" s="1" t="s">
        <v>135</v>
      </c>
      <c r="F23" s="1" t="s">
        <v>136</v>
      </c>
      <c r="G23" s="1">
        <v>1</v>
      </c>
      <c r="H23" s="1" t="s">
        <v>15</v>
      </c>
      <c r="I23" s="1"/>
      <c r="J23" s="1"/>
      <c r="K23" s="1"/>
      <c r="L23" s="22" t="s">
        <v>1432</v>
      </c>
    </row>
    <row r="24" spans="1:12" ht="15.75" customHeight="1" x14ac:dyDescent="0.15">
      <c r="A24" s="1" t="s">
        <v>132</v>
      </c>
      <c r="B24" s="2" t="s">
        <v>143</v>
      </c>
      <c r="C24" s="1" t="s">
        <v>144</v>
      </c>
      <c r="D24" s="1" t="str">
        <f t="shared" si="1"/>
        <v>Trump evaluation: Ensuring the election is fair and that people trust the results</v>
      </c>
      <c r="E24" s="1" t="s">
        <v>135</v>
      </c>
      <c r="F24" s="1" t="s">
        <v>136</v>
      </c>
      <c r="G24" s="1">
        <v>1</v>
      </c>
      <c r="H24" s="1" t="s">
        <v>15</v>
      </c>
      <c r="I24" s="1"/>
      <c r="J24" s="1"/>
      <c r="K24" s="1"/>
      <c r="L24" s="22" t="s">
        <v>1432</v>
      </c>
    </row>
    <row r="25" spans="1:12" ht="15.75" customHeight="1" x14ac:dyDescent="0.15">
      <c r="A25" s="1" t="s">
        <v>132</v>
      </c>
      <c r="B25" s="2" t="s">
        <v>145</v>
      </c>
      <c r="C25" s="1" t="s">
        <v>146</v>
      </c>
      <c r="D25" s="1" t="str">
        <f t="shared" si="1"/>
        <v>Trump evaluation: Respecting the military</v>
      </c>
      <c r="E25" s="1" t="s">
        <v>135</v>
      </c>
      <c r="F25" s="1" t="s">
        <v>136</v>
      </c>
      <c r="G25" s="1">
        <v>1</v>
      </c>
      <c r="H25" s="1" t="s">
        <v>15</v>
      </c>
      <c r="I25" s="1"/>
      <c r="J25" s="1"/>
      <c r="K25" s="1"/>
      <c r="L25" s="22" t="s">
        <v>1432</v>
      </c>
    </row>
    <row r="26" spans="1:12" ht="15.75" customHeight="1" x14ac:dyDescent="0.15">
      <c r="A26" s="1" t="s">
        <v>132</v>
      </c>
      <c r="B26" s="2" t="s">
        <v>147</v>
      </c>
      <c r="C26" s="1" t="s">
        <v>148</v>
      </c>
      <c r="D26" s="1" t="str">
        <f t="shared" si="1"/>
        <v>Trump evaluation: Encouraging Americans to stay safe from and not spread the coronavirus</v>
      </c>
      <c r="E26" s="1" t="s">
        <v>135</v>
      </c>
      <c r="F26" s="1" t="s">
        <v>136</v>
      </c>
      <c r="G26" s="1">
        <v>1</v>
      </c>
      <c r="H26" s="1" t="s">
        <v>15</v>
      </c>
      <c r="I26" s="1"/>
      <c r="J26" s="1"/>
      <c r="K26" s="1"/>
      <c r="L26" s="22" t="s">
        <v>1432</v>
      </c>
    </row>
    <row r="27" spans="1:12" ht="15.75" customHeight="1" x14ac:dyDescent="0.15">
      <c r="A27" s="1" t="s">
        <v>132</v>
      </c>
      <c r="B27" s="2" t="s">
        <v>149</v>
      </c>
      <c r="C27" s="1" t="s">
        <v>150</v>
      </c>
      <c r="D27" s="1" t="str">
        <f t="shared" si="1"/>
        <v>Trump evaluation: Overseeing the development of a vaccine for the coronavirus</v>
      </c>
      <c r="E27" s="1" t="s">
        <v>135</v>
      </c>
      <c r="F27" s="1" t="s">
        <v>136</v>
      </c>
      <c r="G27" s="1">
        <v>1</v>
      </c>
      <c r="H27" s="1" t="s">
        <v>15</v>
      </c>
      <c r="I27" s="1"/>
      <c r="J27" s="1"/>
      <c r="K27" s="1"/>
      <c r="L27" s="22" t="s">
        <v>1432</v>
      </c>
    </row>
    <row r="28" spans="1:12" ht="15.75" customHeight="1" x14ac:dyDescent="0.15">
      <c r="A28" s="1" t="s">
        <v>132</v>
      </c>
      <c r="B28" s="2" t="s">
        <v>151</v>
      </c>
      <c r="C28" s="1" t="s">
        <v>152</v>
      </c>
      <c r="D28" s="1" t="str">
        <f t="shared" si="1"/>
        <v>Trump evaluation: Ensuring America does not get drawn into any unnecessary wars</v>
      </c>
      <c r="E28" s="1" t="s">
        <v>135</v>
      </c>
      <c r="F28" s="1" t="s">
        <v>136</v>
      </c>
      <c r="G28" s="1">
        <v>1</v>
      </c>
      <c r="H28" s="1" t="s">
        <v>15</v>
      </c>
      <c r="I28" s="1"/>
      <c r="J28" s="1"/>
      <c r="K28" s="1"/>
      <c r="L28" s="22" t="s">
        <v>1432</v>
      </c>
    </row>
    <row r="29" spans="1:12" ht="15.75" customHeight="1" x14ac:dyDescent="0.15">
      <c r="A29" s="1" t="s">
        <v>153</v>
      </c>
      <c r="B29" s="2" t="s">
        <v>156</v>
      </c>
      <c r="C29" s="1" t="s">
        <v>157</v>
      </c>
      <c r="D29" s="1" t="str">
        <f t="shared" ref="D29:D36" si="2">_xlfn.CONCAT("Issue importance: ", B29)</f>
        <v>Issue importance: The economy</v>
      </c>
      <c r="E29" s="1" t="s">
        <v>130</v>
      </c>
      <c r="F29" s="1" t="s">
        <v>14</v>
      </c>
      <c r="G29" s="1">
        <v>1</v>
      </c>
      <c r="H29" s="1" t="s">
        <v>14</v>
      </c>
      <c r="I29" s="1"/>
      <c r="J29" s="1"/>
      <c r="K29" s="1"/>
      <c r="L29" s="22" t="s">
        <v>1433</v>
      </c>
    </row>
    <row r="30" spans="1:12" ht="15.75" customHeight="1" x14ac:dyDescent="0.15">
      <c r="A30" s="1" t="s">
        <v>153</v>
      </c>
      <c r="B30" s="2" t="s">
        <v>154</v>
      </c>
      <c r="C30" s="1" t="s">
        <v>155</v>
      </c>
      <c r="D30" s="1" t="str">
        <f t="shared" si="2"/>
        <v>Issue importance: The coronavirus pandemic</v>
      </c>
      <c r="E30" s="1" t="s">
        <v>130</v>
      </c>
      <c r="F30" s="1" t="s">
        <v>130</v>
      </c>
      <c r="G30" s="1">
        <v>1</v>
      </c>
      <c r="H30" s="1" t="s">
        <v>20</v>
      </c>
      <c r="I30" s="1"/>
      <c r="J30" s="1"/>
      <c r="K30" s="1"/>
      <c r="L30" s="22" t="s">
        <v>1433</v>
      </c>
    </row>
    <row r="31" spans="1:12" ht="15.75" customHeight="1" x14ac:dyDescent="0.15">
      <c r="A31" s="1" t="s">
        <v>153</v>
      </c>
      <c r="B31" s="2" t="s">
        <v>158</v>
      </c>
      <c r="C31" s="1" t="s">
        <v>159</v>
      </c>
      <c r="D31" s="1" t="str">
        <f t="shared" si="2"/>
        <v>Issue importance: Healthcare</v>
      </c>
      <c r="E31" s="1" t="s">
        <v>130</v>
      </c>
      <c r="F31" s="1" t="s">
        <v>130</v>
      </c>
      <c r="G31" s="1">
        <v>1</v>
      </c>
      <c r="H31" s="1" t="s">
        <v>20</v>
      </c>
      <c r="I31" s="1"/>
      <c r="J31" s="1"/>
      <c r="K31" s="1"/>
      <c r="L31" s="22" t="s">
        <v>1433</v>
      </c>
    </row>
    <row r="32" spans="1:12" ht="15.75" customHeight="1" x14ac:dyDescent="0.15">
      <c r="A32" s="1" t="s">
        <v>153</v>
      </c>
      <c r="B32" s="2" t="s">
        <v>141</v>
      </c>
      <c r="C32" s="1" t="s">
        <v>160</v>
      </c>
      <c r="D32" s="1" t="str">
        <f t="shared" si="2"/>
        <v>Issue importance: The environment and climate change</v>
      </c>
      <c r="E32" s="1" t="s">
        <v>130</v>
      </c>
      <c r="F32" s="1" t="s">
        <v>130</v>
      </c>
      <c r="G32" s="1">
        <v>1</v>
      </c>
      <c r="H32" s="1" t="s">
        <v>20</v>
      </c>
      <c r="I32" s="1"/>
      <c r="J32" s="1"/>
      <c r="K32" s="1"/>
      <c r="L32" s="22" t="s">
        <v>1433</v>
      </c>
    </row>
    <row r="33" spans="1:12" ht="15.75" customHeight="1" x14ac:dyDescent="0.15">
      <c r="A33" s="1" t="s">
        <v>153</v>
      </c>
      <c r="B33" s="2" t="s">
        <v>161</v>
      </c>
      <c r="C33" s="1" t="s">
        <v>162</v>
      </c>
      <c r="D33" s="1" t="str">
        <f t="shared" si="2"/>
        <v>Issue importance: Violence in American cities</v>
      </c>
      <c r="E33" s="1" t="s">
        <v>130</v>
      </c>
      <c r="F33" s="1" t="s">
        <v>130</v>
      </c>
      <c r="G33" s="1">
        <v>1</v>
      </c>
      <c r="H33" s="1" t="s">
        <v>15</v>
      </c>
      <c r="I33" s="1"/>
      <c r="J33" s="1"/>
      <c r="K33" s="1"/>
      <c r="L33" s="22" t="s">
        <v>1433</v>
      </c>
    </row>
    <row r="34" spans="1:12" ht="15.75" customHeight="1" x14ac:dyDescent="0.15">
      <c r="A34" s="1" t="s">
        <v>153</v>
      </c>
      <c r="B34" s="2" t="s">
        <v>163</v>
      </c>
      <c r="C34" s="1" t="s">
        <v>164</v>
      </c>
      <c r="D34" s="1" t="str">
        <f t="shared" si="2"/>
        <v>Issue importance: Danger to American values from people with extreme views on race</v>
      </c>
      <c r="E34" s="1" t="s">
        <v>130</v>
      </c>
      <c r="F34" s="1" t="s">
        <v>130</v>
      </c>
      <c r="G34" s="1">
        <v>1</v>
      </c>
      <c r="H34" s="1" t="s">
        <v>15</v>
      </c>
      <c r="I34" s="1"/>
      <c r="J34" s="1"/>
      <c r="K34" s="1"/>
      <c r="L34" s="22" t="s">
        <v>1433</v>
      </c>
    </row>
    <row r="35" spans="1:12" ht="15.75" customHeight="1" x14ac:dyDescent="0.15">
      <c r="A35" s="1" t="s">
        <v>153</v>
      </c>
      <c r="B35" s="2" t="s">
        <v>165</v>
      </c>
      <c r="C35" s="1" t="s">
        <v>166</v>
      </c>
      <c r="D35" s="1" t="str">
        <f t="shared" si="2"/>
        <v>Issue importance: Danger to America from socialism</v>
      </c>
      <c r="E35" s="1" t="s">
        <v>130</v>
      </c>
      <c r="F35" s="1" t="s">
        <v>130</v>
      </c>
      <c r="G35" s="1">
        <v>1</v>
      </c>
      <c r="H35" s="1" t="s">
        <v>15</v>
      </c>
      <c r="I35" s="1"/>
      <c r="J35" s="1"/>
      <c r="K35" s="1"/>
      <c r="L35" s="22" t="s">
        <v>1433</v>
      </c>
    </row>
    <row r="36" spans="1:12" ht="15.75" customHeight="1" x14ac:dyDescent="0.15">
      <c r="A36" s="1" t="s">
        <v>153</v>
      </c>
      <c r="B36" s="1" t="s">
        <v>167</v>
      </c>
      <c r="C36" s="1" t="s">
        <v>168</v>
      </c>
      <c r="D36" s="1" t="str">
        <f t="shared" si="2"/>
        <v>Issue importance: The risk of fraud in the elections</v>
      </c>
      <c r="E36" s="1" t="s">
        <v>130</v>
      </c>
      <c r="F36" s="1" t="s">
        <v>130</v>
      </c>
      <c r="G36" s="1">
        <v>1</v>
      </c>
      <c r="H36" s="1" t="s">
        <v>15</v>
      </c>
      <c r="I36" s="1"/>
      <c r="J36" s="1"/>
      <c r="K36" s="1"/>
      <c r="L36" s="22" t="s">
        <v>1433</v>
      </c>
    </row>
    <row r="37" spans="1:12" ht="15.75" customHeight="1" x14ac:dyDescent="0.15">
      <c r="A37" s="1" t="s">
        <v>169</v>
      </c>
      <c r="B37" s="2" t="s">
        <v>173</v>
      </c>
      <c r="C37" s="1" t="s">
        <v>174</v>
      </c>
      <c r="D37" s="1" t="str">
        <f t="shared" ref="D37:D53" si="3">_xlfn.CONCAT("Feeling therm: ", B37)</f>
        <v>Feeling therm: Whites</v>
      </c>
      <c r="E37" s="1" t="s">
        <v>42</v>
      </c>
      <c r="F37" s="1" t="s">
        <v>14</v>
      </c>
      <c r="G37" s="1">
        <v>1</v>
      </c>
      <c r="H37" s="1" t="s">
        <v>14</v>
      </c>
      <c r="I37" s="1"/>
      <c r="J37" s="1"/>
      <c r="K37" s="1"/>
      <c r="L37" s="16" t="s">
        <v>907</v>
      </c>
    </row>
    <row r="38" spans="1:12" ht="15.75" customHeight="1" x14ac:dyDescent="0.15">
      <c r="A38" s="1" t="s">
        <v>169</v>
      </c>
      <c r="B38" s="2" t="s">
        <v>175</v>
      </c>
      <c r="C38" s="1" t="s">
        <v>176</v>
      </c>
      <c r="D38" s="1" t="str">
        <f t="shared" si="3"/>
        <v>Feeling therm: Hispanics</v>
      </c>
      <c r="E38" s="1" t="s">
        <v>42</v>
      </c>
      <c r="F38" s="1" t="s">
        <v>14</v>
      </c>
      <c r="G38" s="1">
        <v>1</v>
      </c>
      <c r="H38" s="1" t="s">
        <v>14</v>
      </c>
      <c r="I38" s="1"/>
      <c r="J38" s="1"/>
      <c r="K38" s="1"/>
      <c r="L38" s="16" t="s">
        <v>907</v>
      </c>
    </row>
    <row r="39" spans="1:12" ht="15.75" customHeight="1" x14ac:dyDescent="0.15">
      <c r="A39" s="1" t="s">
        <v>169</v>
      </c>
      <c r="B39" s="2" t="s">
        <v>177</v>
      </c>
      <c r="C39" s="1" t="s">
        <v>178</v>
      </c>
      <c r="D39" s="1" t="str">
        <f t="shared" si="3"/>
        <v>Feeling therm: Asians</v>
      </c>
      <c r="E39" s="1" t="s">
        <v>42</v>
      </c>
      <c r="F39" s="1" t="s">
        <v>14</v>
      </c>
      <c r="G39" s="1">
        <v>1</v>
      </c>
      <c r="H39" s="1" t="s">
        <v>14</v>
      </c>
      <c r="I39" s="1"/>
      <c r="J39" s="1"/>
      <c r="K39" s="1"/>
      <c r="L39" s="16" t="s">
        <v>907</v>
      </c>
    </row>
    <row r="40" spans="1:12" ht="15.75" customHeight="1" x14ac:dyDescent="0.15">
      <c r="A40" s="1" t="s">
        <v>169</v>
      </c>
      <c r="B40" s="2" t="s">
        <v>179</v>
      </c>
      <c r="C40" s="1" t="s">
        <v>180</v>
      </c>
      <c r="D40" s="1" t="str">
        <f t="shared" si="3"/>
        <v>Feeling therm: Muslims</v>
      </c>
      <c r="E40" s="1" t="s">
        <v>42</v>
      </c>
      <c r="F40" s="1" t="s">
        <v>14</v>
      </c>
      <c r="G40" s="1">
        <v>1</v>
      </c>
      <c r="H40" s="1" t="s">
        <v>14</v>
      </c>
      <c r="I40" s="1"/>
      <c r="J40" s="1"/>
      <c r="K40" s="1"/>
      <c r="L40" s="16" t="s">
        <v>907</v>
      </c>
    </row>
    <row r="41" spans="1:12" ht="15.75" customHeight="1" x14ac:dyDescent="0.15">
      <c r="A41" s="1" t="s">
        <v>169</v>
      </c>
      <c r="B41" s="2" t="s">
        <v>181</v>
      </c>
      <c r="C41" s="1" t="s">
        <v>182</v>
      </c>
      <c r="D41" s="1" t="str">
        <f t="shared" si="3"/>
        <v>Feeling therm: Illegal Immigrants</v>
      </c>
      <c r="E41" s="1" t="s">
        <v>42</v>
      </c>
      <c r="F41" s="1" t="s">
        <v>14</v>
      </c>
      <c r="G41" s="1">
        <v>1</v>
      </c>
      <c r="H41" s="1" t="s">
        <v>14</v>
      </c>
      <c r="I41" s="1"/>
      <c r="J41" s="1"/>
      <c r="K41" s="1"/>
      <c r="L41" s="16" t="s">
        <v>907</v>
      </c>
    </row>
    <row r="42" spans="1:12" ht="15.75" customHeight="1" x14ac:dyDescent="0.15">
      <c r="A42" s="1" t="s">
        <v>169</v>
      </c>
      <c r="B42" s="2" t="s">
        <v>170</v>
      </c>
      <c r="C42" s="1" t="s">
        <v>171</v>
      </c>
      <c r="D42" s="1" t="str">
        <f t="shared" si="3"/>
        <v>Feeling therm: Blacks</v>
      </c>
      <c r="E42" s="1" t="s">
        <v>172</v>
      </c>
      <c r="F42" s="1" t="s">
        <v>172</v>
      </c>
      <c r="G42" s="1">
        <v>1</v>
      </c>
      <c r="H42" s="1" t="s">
        <v>20</v>
      </c>
      <c r="I42" s="1"/>
      <c r="J42" s="1"/>
      <c r="K42" s="1"/>
      <c r="L42" s="16" t="s">
        <v>907</v>
      </c>
    </row>
    <row r="43" spans="1:12" ht="15.75" customHeight="1" x14ac:dyDescent="0.15">
      <c r="A43" s="1" t="s">
        <v>169</v>
      </c>
      <c r="B43" s="2" t="s">
        <v>183</v>
      </c>
      <c r="C43" s="1" t="s">
        <v>184</v>
      </c>
      <c r="D43" s="1" t="str">
        <f t="shared" si="3"/>
        <v>Feeling therm: The Black Lives Matter movement</v>
      </c>
      <c r="E43" s="1" t="s">
        <v>172</v>
      </c>
      <c r="F43" s="1" t="s">
        <v>172</v>
      </c>
      <c r="G43" s="1">
        <v>1</v>
      </c>
      <c r="H43" s="1" t="s">
        <v>20</v>
      </c>
      <c r="I43" s="1"/>
      <c r="J43" s="1"/>
      <c r="K43" s="1">
        <v>1</v>
      </c>
      <c r="L43" s="16" t="s">
        <v>907</v>
      </c>
    </row>
    <row r="44" spans="1:12" ht="15.75" customHeight="1" x14ac:dyDescent="0.15">
      <c r="A44" s="1" t="s">
        <v>185</v>
      </c>
      <c r="B44" s="2" t="s">
        <v>191</v>
      </c>
      <c r="C44" s="1" t="s">
        <v>192</v>
      </c>
      <c r="D44" s="1" t="str">
        <f t="shared" si="3"/>
        <v>Feeling therm: Democratic party voters</v>
      </c>
      <c r="E44" s="1" t="s">
        <v>38</v>
      </c>
      <c r="F44" s="1" t="s">
        <v>126</v>
      </c>
      <c r="G44" s="1">
        <v>1</v>
      </c>
      <c r="H44" s="1" t="s">
        <v>20</v>
      </c>
      <c r="I44" s="1"/>
      <c r="J44" s="1"/>
      <c r="K44" s="1"/>
      <c r="L44" s="16" t="s">
        <v>907</v>
      </c>
    </row>
    <row r="45" spans="1:12" ht="15.75" customHeight="1" x14ac:dyDescent="0.15">
      <c r="A45" s="1" t="s">
        <v>185</v>
      </c>
      <c r="B45" s="2" t="s">
        <v>193</v>
      </c>
      <c r="C45" s="1" t="s">
        <v>194</v>
      </c>
      <c r="D45" s="1" t="str">
        <f t="shared" si="3"/>
        <v>Feeling therm: Republican party voters</v>
      </c>
      <c r="E45" s="1" t="s">
        <v>38</v>
      </c>
      <c r="F45" s="1" t="s">
        <v>195</v>
      </c>
      <c r="G45" s="1">
        <v>1</v>
      </c>
      <c r="H45" s="1" t="s">
        <v>15</v>
      </c>
      <c r="I45" s="1"/>
      <c r="J45" s="1"/>
      <c r="K45" s="1"/>
      <c r="L45" s="16" t="s">
        <v>907</v>
      </c>
    </row>
    <row r="46" spans="1:12" ht="15.75" customHeight="1" x14ac:dyDescent="0.15">
      <c r="A46" s="1" t="s">
        <v>185</v>
      </c>
      <c r="B46" s="2" t="s">
        <v>188</v>
      </c>
      <c r="C46" s="1" t="s">
        <v>189</v>
      </c>
      <c r="D46" s="1" t="str">
        <f t="shared" si="3"/>
        <v>Feeling therm: Former Vice President Joe Biden</v>
      </c>
      <c r="E46" s="1" t="s">
        <v>135</v>
      </c>
      <c r="F46" s="1" t="s">
        <v>190</v>
      </c>
      <c r="G46" s="1">
        <v>1</v>
      </c>
      <c r="H46" s="1" t="s">
        <v>20</v>
      </c>
      <c r="I46" s="1"/>
      <c r="J46" s="1"/>
      <c r="K46" s="1"/>
      <c r="L46" s="16" t="s">
        <v>907</v>
      </c>
    </row>
    <row r="47" spans="1:12" ht="15.75" customHeight="1" x14ac:dyDescent="0.15">
      <c r="A47" s="1" t="s">
        <v>185</v>
      </c>
      <c r="B47" s="2" t="s">
        <v>196</v>
      </c>
      <c r="C47" s="1" t="s">
        <v>197</v>
      </c>
      <c r="D47" s="1" t="str">
        <f t="shared" si="3"/>
        <v>Feeling therm: Democratic party candidates and elected officials</v>
      </c>
      <c r="E47" s="1" t="s">
        <v>135</v>
      </c>
      <c r="F47" s="1" t="s">
        <v>198</v>
      </c>
      <c r="G47" s="1">
        <v>1</v>
      </c>
      <c r="H47" s="1" t="s">
        <v>20</v>
      </c>
      <c r="I47" s="1"/>
      <c r="J47" s="1"/>
      <c r="K47" s="1"/>
      <c r="L47" s="16" t="s">
        <v>907</v>
      </c>
    </row>
    <row r="48" spans="1:12" ht="15.75" customHeight="1" x14ac:dyDescent="0.15">
      <c r="A48" s="1" t="s">
        <v>185</v>
      </c>
      <c r="B48" s="2" t="s">
        <v>199</v>
      </c>
      <c r="C48" s="1" t="s">
        <v>200</v>
      </c>
      <c r="D48" s="1" t="str">
        <f t="shared" si="3"/>
        <v>Feeling therm: Republican party candidates and elected officials</v>
      </c>
      <c r="E48" s="1" t="s">
        <v>135</v>
      </c>
      <c r="F48" s="1" t="s">
        <v>198</v>
      </c>
      <c r="G48" s="1">
        <v>1</v>
      </c>
      <c r="H48" s="1" t="s">
        <v>15</v>
      </c>
      <c r="I48" s="1"/>
      <c r="J48" s="1"/>
      <c r="K48" s="1"/>
      <c r="L48" s="16" t="s">
        <v>907</v>
      </c>
    </row>
    <row r="49" spans="1:12" ht="15.75" customHeight="1" x14ac:dyDescent="0.15">
      <c r="A49" s="1" t="s">
        <v>185</v>
      </c>
      <c r="B49" s="2" t="s">
        <v>186</v>
      </c>
      <c r="C49" s="1" t="s">
        <v>187</v>
      </c>
      <c r="D49" s="1" t="str">
        <f t="shared" si="3"/>
        <v>Feeling therm: President Donald Trump</v>
      </c>
      <c r="E49" s="1" t="s">
        <v>135</v>
      </c>
      <c r="F49" s="1" t="s">
        <v>136</v>
      </c>
      <c r="G49" s="1">
        <v>1</v>
      </c>
      <c r="H49" s="1" t="s">
        <v>15</v>
      </c>
      <c r="I49" s="1"/>
      <c r="J49" s="1"/>
      <c r="K49" s="1"/>
      <c r="L49" s="16" t="s">
        <v>907</v>
      </c>
    </row>
    <row r="50" spans="1:12" ht="15.75" customHeight="1" x14ac:dyDescent="0.15">
      <c r="A50" s="1" t="s">
        <v>201</v>
      </c>
      <c r="B50" s="2" t="s">
        <v>206</v>
      </c>
      <c r="C50" s="1" t="s">
        <v>207</v>
      </c>
      <c r="D50" s="1" t="str">
        <f t="shared" si="3"/>
        <v>Feeling therm: New York Times</v>
      </c>
      <c r="E50" s="1" t="s">
        <v>85</v>
      </c>
      <c r="F50" s="1" t="s">
        <v>14</v>
      </c>
      <c r="G50" s="1">
        <v>1</v>
      </c>
      <c r="H50" s="1" t="s">
        <v>14</v>
      </c>
      <c r="I50" s="1"/>
      <c r="J50" s="1"/>
      <c r="K50" s="1"/>
      <c r="L50" s="16" t="s">
        <v>907</v>
      </c>
    </row>
    <row r="51" spans="1:12" ht="15.75" customHeight="1" x14ac:dyDescent="0.15">
      <c r="A51" s="1" t="s">
        <v>201</v>
      </c>
      <c r="B51" s="2" t="s">
        <v>17</v>
      </c>
      <c r="C51" s="1" t="s">
        <v>205</v>
      </c>
      <c r="D51" s="1" t="str">
        <f t="shared" si="3"/>
        <v>Feeling therm: CNN</v>
      </c>
      <c r="E51" s="1" t="s">
        <v>85</v>
      </c>
      <c r="F51" s="1" t="s">
        <v>94</v>
      </c>
      <c r="G51" s="1">
        <v>1</v>
      </c>
      <c r="H51" s="1" t="s">
        <v>20</v>
      </c>
      <c r="I51" s="1"/>
      <c r="J51" s="1"/>
      <c r="K51" s="1"/>
      <c r="L51" s="16" t="s">
        <v>907</v>
      </c>
    </row>
    <row r="52" spans="1:12" ht="15.75" customHeight="1" x14ac:dyDescent="0.15">
      <c r="A52" s="1" t="s">
        <v>201</v>
      </c>
      <c r="B52" s="2" t="s">
        <v>10</v>
      </c>
      <c r="C52" s="1" t="s">
        <v>204</v>
      </c>
      <c r="D52" s="1" t="str">
        <f t="shared" si="3"/>
        <v>Feeling therm: Fox News</v>
      </c>
      <c r="E52" s="1" t="s">
        <v>85</v>
      </c>
      <c r="F52" s="1" t="s">
        <v>89</v>
      </c>
      <c r="G52" s="1">
        <v>1</v>
      </c>
      <c r="H52" s="1" t="s">
        <v>15</v>
      </c>
      <c r="I52" s="1"/>
      <c r="J52" s="1"/>
      <c r="K52" s="1"/>
      <c r="L52" s="16" t="s">
        <v>907</v>
      </c>
    </row>
    <row r="53" spans="1:12" ht="15.75" customHeight="1" x14ac:dyDescent="0.15">
      <c r="A53" s="1" t="s">
        <v>201</v>
      </c>
      <c r="B53" s="2" t="s">
        <v>202</v>
      </c>
      <c r="C53" s="1" t="s">
        <v>203</v>
      </c>
      <c r="D53" s="1" t="str">
        <f t="shared" si="3"/>
        <v>Feeling therm: Journalists</v>
      </c>
      <c r="E53" s="1" t="s">
        <v>85</v>
      </c>
      <c r="F53" s="1" t="s">
        <v>86</v>
      </c>
      <c r="G53" s="1">
        <v>1</v>
      </c>
      <c r="H53" s="1" t="s">
        <v>20</v>
      </c>
      <c r="I53" s="1"/>
      <c r="J53" s="1"/>
      <c r="K53" s="1"/>
      <c r="L53" s="16" t="s">
        <v>907</v>
      </c>
    </row>
    <row r="54" spans="1:12" ht="15.75" customHeight="1" x14ac:dyDescent="0.15">
      <c r="A54" s="1" t="s">
        <v>208</v>
      </c>
      <c r="B54" s="2" t="s">
        <v>209</v>
      </c>
      <c r="C54" s="1" t="s">
        <v>210</v>
      </c>
      <c r="D54" s="1" t="str">
        <f t="shared" ref="D54:D73" si="4">B54</f>
        <v>States should allow voters to vote by mail in the 2020 election.</v>
      </c>
      <c r="E54" s="1" t="s">
        <v>211</v>
      </c>
      <c r="F54" s="1" t="s">
        <v>212</v>
      </c>
      <c r="G54" s="1">
        <v>1</v>
      </c>
      <c r="H54" s="1" t="s">
        <v>20</v>
      </c>
      <c r="I54" s="1" t="s">
        <v>504</v>
      </c>
      <c r="J54" s="1"/>
      <c r="K54" s="1"/>
      <c r="L54" s="1" t="s">
        <v>1431</v>
      </c>
    </row>
    <row r="55" spans="1:12" ht="15.75" customHeight="1" x14ac:dyDescent="0.15">
      <c r="A55" s="1" t="s">
        <v>208</v>
      </c>
      <c r="B55" s="2" t="s">
        <v>218</v>
      </c>
      <c r="C55" s="1" t="s">
        <v>219</v>
      </c>
      <c r="D55" s="1" t="str">
        <f t="shared" si="4"/>
        <v>The government should refuse to do business with companies that teach their employees that America is a racist and sexist country.</v>
      </c>
      <c r="E55" s="1" t="s">
        <v>211</v>
      </c>
      <c r="F55" s="1" t="s">
        <v>212</v>
      </c>
      <c r="G55" s="1">
        <v>1</v>
      </c>
      <c r="H55" s="1" t="s">
        <v>15</v>
      </c>
      <c r="I55" s="1"/>
      <c r="J55" s="1"/>
      <c r="K55" s="1"/>
      <c r="L55" s="1" t="s">
        <v>1431</v>
      </c>
    </row>
    <row r="56" spans="1:12" ht="15.75" customHeight="1" x14ac:dyDescent="0.15">
      <c r="A56" s="1" t="s">
        <v>208</v>
      </c>
      <c r="B56" s="2" t="s">
        <v>220</v>
      </c>
      <c r="C56" s="1" t="s">
        <v>221</v>
      </c>
      <c r="D56" s="1" t="str">
        <f t="shared" si="4"/>
        <v>Congress should do more to address global warming (also known as climate change).</v>
      </c>
      <c r="E56" s="1" t="s">
        <v>211</v>
      </c>
      <c r="F56" s="1" t="s">
        <v>212</v>
      </c>
      <c r="G56" s="1">
        <v>1</v>
      </c>
      <c r="H56" s="1" t="s">
        <v>20</v>
      </c>
      <c r="I56" s="1"/>
      <c r="J56" s="1"/>
      <c r="K56" s="1"/>
      <c r="L56" s="1" t="s">
        <v>1431</v>
      </c>
    </row>
    <row r="57" spans="1:12" ht="15.75" customHeight="1" x14ac:dyDescent="0.15">
      <c r="A57" s="1" t="s">
        <v>208</v>
      </c>
      <c r="B57" s="2" t="s">
        <v>222</v>
      </c>
      <c r="C57" s="1" t="s">
        <v>223</v>
      </c>
      <c r="D57" s="1" t="str">
        <f t="shared" si="4"/>
        <v>Police should use force against protestors who refuse to comply with police orders.</v>
      </c>
      <c r="E57" s="1" t="s">
        <v>211</v>
      </c>
      <c r="F57" s="1" t="s">
        <v>212</v>
      </c>
      <c r="G57" s="1">
        <v>1</v>
      </c>
      <c r="H57" s="1" t="s">
        <v>15</v>
      </c>
      <c r="I57" s="1"/>
      <c r="J57" s="1"/>
      <c r="K57" s="1"/>
      <c r="L57" s="1" t="s">
        <v>1431</v>
      </c>
    </row>
    <row r="58" spans="1:12" ht="15.75" customHeight="1" x14ac:dyDescent="0.15">
      <c r="A58" s="1" t="s">
        <v>208</v>
      </c>
      <c r="B58" s="2" t="s">
        <v>213</v>
      </c>
      <c r="C58" s="1" t="s">
        <v>214</v>
      </c>
      <c r="D58" s="1" t="str">
        <f t="shared" si="4"/>
        <v>Schools should be open for in-person classes right now.</v>
      </c>
      <c r="E58" s="1" t="s">
        <v>215</v>
      </c>
      <c r="F58" s="1" t="s">
        <v>215</v>
      </c>
      <c r="G58" s="1">
        <v>1</v>
      </c>
      <c r="H58" s="1" t="s">
        <v>15</v>
      </c>
      <c r="I58" s="1"/>
      <c r="J58" s="1"/>
      <c r="K58" s="1"/>
      <c r="L58" s="1" t="s">
        <v>1431</v>
      </c>
    </row>
    <row r="59" spans="1:12" ht="15.75" customHeight="1" x14ac:dyDescent="0.15">
      <c r="A59" s="1" t="s">
        <v>208</v>
      </c>
      <c r="B59" s="2" t="s">
        <v>216</v>
      </c>
      <c r="C59" s="1" t="s">
        <v>217</v>
      </c>
      <c r="D59" s="1" t="str">
        <f t="shared" si="4"/>
        <v>Any remaining coronavirus restrictions on businesses such as restaurants, bars, and movie theaters should be removed; the rules for these businesses should all go back to normal.</v>
      </c>
      <c r="E59" s="1" t="s">
        <v>215</v>
      </c>
      <c r="F59" s="1" t="s">
        <v>215</v>
      </c>
      <c r="G59" s="1">
        <v>1</v>
      </c>
      <c r="H59" s="1" t="s">
        <v>15</v>
      </c>
      <c r="I59" s="1"/>
      <c r="J59" s="1"/>
      <c r="K59" s="1"/>
      <c r="L59" s="1" t="s">
        <v>1431</v>
      </c>
    </row>
    <row r="60" spans="1:12" ht="15.75" customHeight="1" x14ac:dyDescent="0.15">
      <c r="A60" s="1" t="s">
        <v>233</v>
      </c>
      <c r="B60" s="2" t="s">
        <v>252</v>
      </c>
      <c r="C60" s="1" t="s">
        <v>253</v>
      </c>
      <c r="D60" s="1" t="str">
        <f t="shared" si="4"/>
        <v>Because of the risk of spreading coronavirus, Donald Trump and Joe Biden should not be holding campaign rallies.</v>
      </c>
      <c r="E60" s="1" t="s">
        <v>215</v>
      </c>
      <c r="F60" s="1" t="s">
        <v>215</v>
      </c>
      <c r="G60" s="1">
        <v>1</v>
      </c>
      <c r="H60" s="1" t="s">
        <v>20</v>
      </c>
      <c r="I60" s="2" t="s">
        <v>505</v>
      </c>
      <c r="J60" s="1"/>
      <c r="K60" s="1"/>
      <c r="L60" s="1" t="s">
        <v>1431</v>
      </c>
    </row>
    <row r="61" spans="1:12" ht="15.75" customHeight="1" x14ac:dyDescent="0.15">
      <c r="A61" s="1" t="s">
        <v>233</v>
      </c>
      <c r="B61" s="2" t="s">
        <v>234</v>
      </c>
      <c r="C61" s="1" t="s">
        <v>235</v>
      </c>
      <c r="D61" s="1" t="str">
        <f t="shared" si="4"/>
        <v>The government could have done more early this year to stop the coronavirus from ever spreading so widely in the United States.</v>
      </c>
      <c r="E61" s="1" t="s">
        <v>215</v>
      </c>
      <c r="F61" s="1" t="s">
        <v>215</v>
      </c>
      <c r="G61" s="1">
        <v>1</v>
      </c>
      <c r="H61" s="1" t="s">
        <v>20</v>
      </c>
      <c r="I61" s="1"/>
      <c r="J61" s="1"/>
      <c r="K61" s="1"/>
      <c r="L61" s="1" t="s">
        <v>1431</v>
      </c>
    </row>
    <row r="62" spans="1:12" ht="15.75" customHeight="1" x14ac:dyDescent="0.15">
      <c r="A62" s="1" t="s">
        <v>233</v>
      </c>
      <c r="B62" s="2" t="s">
        <v>236</v>
      </c>
      <c r="C62" s="1" t="s">
        <v>237</v>
      </c>
      <c r="D62" s="1" t="str">
        <f t="shared" si="4"/>
        <v>The sickness and death the coronavirus pandemic has caused in America is one of the greatest tragedies in American history.</v>
      </c>
      <c r="E62" s="1" t="s">
        <v>215</v>
      </c>
      <c r="F62" s="1" t="s">
        <v>215</v>
      </c>
      <c r="G62" s="1">
        <v>1</v>
      </c>
      <c r="H62" s="1" t="s">
        <v>20</v>
      </c>
      <c r="I62" s="1"/>
      <c r="J62" s="1"/>
      <c r="K62" s="1"/>
      <c r="L62" s="1" t="s">
        <v>1431</v>
      </c>
    </row>
    <row r="63" spans="1:12" ht="15.75" customHeight="1" x14ac:dyDescent="0.15">
      <c r="A63" s="1" t="s">
        <v>233</v>
      </c>
      <c r="B63" s="2" t="s">
        <v>238</v>
      </c>
      <c r="C63" s="1" t="s">
        <v>239</v>
      </c>
      <c r="D63" s="1" t="str">
        <f t="shared" si="4"/>
        <v>The number of Americans with coronavirus has been falling quickly.</v>
      </c>
      <c r="E63" s="1" t="s">
        <v>215</v>
      </c>
      <c r="F63" s="1" t="s">
        <v>215</v>
      </c>
      <c r="G63" s="1">
        <v>1</v>
      </c>
      <c r="H63" s="1" t="s">
        <v>15</v>
      </c>
      <c r="I63" s="1"/>
      <c r="J63" s="1"/>
      <c r="K63" s="1"/>
      <c r="L63" s="1" t="s">
        <v>1431</v>
      </c>
    </row>
    <row r="64" spans="1:12" ht="15.75" customHeight="1" x14ac:dyDescent="0.15">
      <c r="A64" s="1" t="s">
        <v>233</v>
      </c>
      <c r="B64" s="2" t="s">
        <v>240</v>
      </c>
      <c r="C64" s="1" t="s">
        <v>241</v>
      </c>
      <c r="D64" s="1" t="str">
        <f t="shared" si="4"/>
        <v>The government should be doing more to stop the spread of coronavirus.</v>
      </c>
      <c r="E64" s="1" t="s">
        <v>215</v>
      </c>
      <c r="F64" s="1" t="s">
        <v>215</v>
      </c>
      <c r="G64" s="1">
        <v>1</v>
      </c>
      <c r="H64" s="1" t="s">
        <v>20</v>
      </c>
      <c r="I64" s="1"/>
      <c r="J64" s="1"/>
      <c r="K64" s="1"/>
      <c r="L64" s="1" t="s">
        <v>1431</v>
      </c>
    </row>
    <row r="65" spans="1:12" ht="15.75" customHeight="1" x14ac:dyDescent="0.15">
      <c r="A65" s="1" t="s">
        <v>233</v>
      </c>
      <c r="B65" s="2" t="s">
        <v>242</v>
      </c>
      <c r="C65" s="1" t="s">
        <v>243</v>
      </c>
      <c r="D65" s="1" t="str">
        <f t="shared" si="4"/>
        <v>Many other countries have done a much better job of controlling the coronavirus than the United States government.</v>
      </c>
      <c r="E65" s="1" t="s">
        <v>215</v>
      </c>
      <c r="F65" s="1" t="s">
        <v>215</v>
      </c>
      <c r="G65" s="1">
        <v>1</v>
      </c>
      <c r="H65" s="1" t="s">
        <v>20</v>
      </c>
      <c r="I65" s="1"/>
      <c r="J65" s="1"/>
      <c r="K65" s="1"/>
      <c r="L65" s="1" t="s">
        <v>1431</v>
      </c>
    </row>
    <row r="66" spans="1:12" ht="42" x14ac:dyDescent="0.15">
      <c r="A66" s="1" t="s">
        <v>233</v>
      </c>
      <c r="B66" s="2" t="s">
        <v>244</v>
      </c>
      <c r="C66" s="1" t="s">
        <v>245</v>
      </c>
      <c r="D66" s="1" t="str">
        <f t="shared" si="4"/>
        <v>The coronavirus is not as dangerous as many people seem to think.</v>
      </c>
      <c r="E66" s="1" t="s">
        <v>215</v>
      </c>
      <c r="F66" s="1" t="s">
        <v>215</v>
      </c>
      <c r="G66" s="1">
        <v>1</v>
      </c>
      <c r="H66" s="1" t="s">
        <v>15</v>
      </c>
      <c r="I66" s="1"/>
      <c r="J66" s="1"/>
      <c r="K66" s="1"/>
      <c r="L66" s="1" t="s">
        <v>1431</v>
      </c>
    </row>
    <row r="67" spans="1:12" ht="70" x14ac:dyDescent="0.15">
      <c r="A67" s="1" t="s">
        <v>233</v>
      </c>
      <c r="B67" s="2" t="s">
        <v>246</v>
      </c>
      <c r="C67" s="1" t="s">
        <v>247</v>
      </c>
      <c r="D67" s="1" t="str">
        <f t="shared" si="4"/>
        <v>The coronavirus causes many people to experience serious long-term health problems that stay with them for months or longer.</v>
      </c>
      <c r="E67" s="1" t="s">
        <v>215</v>
      </c>
      <c r="F67" s="1" t="s">
        <v>215</v>
      </c>
      <c r="G67" s="1">
        <v>1</v>
      </c>
      <c r="H67" s="1" t="s">
        <v>20</v>
      </c>
      <c r="I67" s="1"/>
      <c r="J67" s="1"/>
      <c r="K67" s="1"/>
      <c r="L67" s="1" t="s">
        <v>1431</v>
      </c>
    </row>
    <row r="68" spans="1:12" ht="42" x14ac:dyDescent="0.15">
      <c r="A68" s="1" t="s">
        <v>233</v>
      </c>
      <c r="B68" s="2" t="s">
        <v>248</v>
      </c>
      <c r="C68" s="1" t="s">
        <v>249</v>
      </c>
      <c r="D68" s="1" t="str">
        <f t="shared" si="4"/>
        <v>Donald Trump should probably take the coronavirus pandemic more seriously.</v>
      </c>
      <c r="E68" s="1" t="s">
        <v>215</v>
      </c>
      <c r="F68" s="1" t="s">
        <v>215</v>
      </c>
      <c r="G68" s="1">
        <v>1</v>
      </c>
      <c r="H68" s="1" t="s">
        <v>20</v>
      </c>
      <c r="I68" s="1"/>
      <c r="J68" s="1"/>
      <c r="K68" s="1"/>
      <c r="L68" s="1" t="s">
        <v>1431</v>
      </c>
    </row>
    <row r="69" spans="1:12" ht="28" x14ac:dyDescent="0.15">
      <c r="A69" s="1" t="s">
        <v>233</v>
      </c>
      <c r="B69" s="2" t="s">
        <v>250</v>
      </c>
      <c r="C69" s="1" t="s">
        <v>251</v>
      </c>
      <c r="D69" s="1" t="str">
        <f t="shared" si="4"/>
        <v>Everyone in a grocery store should wear a mask.</v>
      </c>
      <c r="E69" s="1" t="s">
        <v>215</v>
      </c>
      <c r="F69" s="1" t="s">
        <v>215</v>
      </c>
      <c r="G69" s="1">
        <v>1</v>
      </c>
      <c r="H69" s="1" t="s">
        <v>20</v>
      </c>
      <c r="I69" s="1"/>
      <c r="J69" s="1"/>
      <c r="K69" s="1"/>
      <c r="L69" s="1" t="s">
        <v>1431</v>
      </c>
    </row>
    <row r="70" spans="1:12" ht="42" x14ac:dyDescent="0.15">
      <c r="A70" s="1" t="s">
        <v>233</v>
      </c>
      <c r="B70" s="2" t="s">
        <v>254</v>
      </c>
      <c r="C70" s="1" t="s">
        <v>255</v>
      </c>
      <c r="D70" s="1" t="str">
        <f t="shared" si="4"/>
        <v>The coronavirus is still infecting huge numbers of Americans every day.</v>
      </c>
      <c r="E70" s="1" t="s">
        <v>215</v>
      </c>
      <c r="F70" s="1" t="s">
        <v>215</v>
      </c>
      <c r="G70" s="1">
        <v>1</v>
      </c>
      <c r="H70" s="1" t="s">
        <v>20</v>
      </c>
      <c r="I70" s="1"/>
      <c r="J70" s="1"/>
      <c r="K70" s="1"/>
      <c r="L70" s="1" t="s">
        <v>1431</v>
      </c>
    </row>
    <row r="71" spans="1:12" ht="14" x14ac:dyDescent="0.15">
      <c r="A71" s="1" t="s">
        <v>233</v>
      </c>
      <c r="B71" s="2" t="s">
        <v>256</v>
      </c>
      <c r="C71" s="1" t="s">
        <v>257</v>
      </c>
      <c r="D71" s="1" t="str">
        <f t="shared" si="4"/>
        <v>Wearing a mask is useless.</v>
      </c>
      <c r="E71" s="1" t="s">
        <v>215</v>
      </c>
      <c r="F71" s="1" t="s">
        <v>215</v>
      </c>
      <c r="G71" s="1">
        <v>1</v>
      </c>
      <c r="H71" s="1" t="s">
        <v>15</v>
      </c>
      <c r="I71" s="1"/>
      <c r="J71" s="1"/>
      <c r="K71" s="1"/>
      <c r="L71" s="1" t="s">
        <v>1431</v>
      </c>
    </row>
    <row r="72" spans="1:12" ht="42" x14ac:dyDescent="0.15">
      <c r="A72" s="1" t="s">
        <v>233</v>
      </c>
      <c r="B72" s="2" t="s">
        <v>258</v>
      </c>
      <c r="C72" s="1" t="s">
        <v>259</v>
      </c>
      <c r="D72" s="1" t="str">
        <f t="shared" si="4"/>
        <v>I’m concerned that people I care about are going to catch the coronavirus.</v>
      </c>
      <c r="E72" s="1" t="s">
        <v>215</v>
      </c>
      <c r="F72" s="1" t="s">
        <v>215</v>
      </c>
      <c r="G72" s="1">
        <v>1</v>
      </c>
      <c r="H72" s="1" t="s">
        <v>20</v>
      </c>
      <c r="I72" s="1"/>
      <c r="J72" s="1"/>
      <c r="K72" s="1"/>
      <c r="L72" s="1" t="s">
        <v>1431</v>
      </c>
    </row>
    <row r="73" spans="1:12" ht="70" x14ac:dyDescent="0.15">
      <c r="A73" s="1" t="s">
        <v>233</v>
      </c>
      <c r="B73" s="2" t="s">
        <v>260</v>
      </c>
      <c r="C73" s="1" t="s">
        <v>261</v>
      </c>
      <c r="D73" s="1" t="str">
        <f t="shared" si="4"/>
        <v>I’m concerned that Donald Trump will order the government to approve a coronavirus vaccine before scientists are sure that it’s safe and that it works.</v>
      </c>
      <c r="E73" s="1" t="s">
        <v>215</v>
      </c>
      <c r="F73" s="1" t="s">
        <v>215</v>
      </c>
      <c r="G73" s="1">
        <v>1</v>
      </c>
      <c r="H73" s="1" t="s">
        <v>20</v>
      </c>
      <c r="I73" s="1"/>
      <c r="J73" s="1"/>
      <c r="K73" s="1"/>
      <c r="L73" s="1" t="s">
        <v>1431</v>
      </c>
    </row>
    <row r="74" spans="1:12" ht="14" x14ac:dyDescent="0.15">
      <c r="A74" s="1" t="s">
        <v>303</v>
      </c>
      <c r="B74" s="2" t="s">
        <v>280</v>
      </c>
      <c r="C74" s="1" t="s">
        <v>304</v>
      </c>
      <c r="D74" s="1" t="str">
        <f t="shared" ref="D74:D78" si="5">CONCATENATE("Trait rating: Trump ", LOWER(B74))</f>
        <v>Trait rating: Trump patriotic</v>
      </c>
      <c r="E74" s="1" t="s">
        <v>135</v>
      </c>
      <c r="F74" s="1" t="s">
        <v>136</v>
      </c>
      <c r="G74" s="1">
        <v>1</v>
      </c>
      <c r="H74" s="1" t="s">
        <v>15</v>
      </c>
      <c r="I74" s="1"/>
      <c r="J74" s="1"/>
      <c r="K74" s="1"/>
      <c r="L74" s="16" t="s">
        <v>1310</v>
      </c>
    </row>
    <row r="75" spans="1:12" ht="14" x14ac:dyDescent="0.15">
      <c r="A75" s="1" t="s">
        <v>303</v>
      </c>
      <c r="B75" s="2" t="s">
        <v>282</v>
      </c>
      <c r="C75" s="1" t="s">
        <v>305</v>
      </c>
      <c r="D75" s="1" t="str">
        <f t="shared" si="5"/>
        <v>Trait rating: Trump intelligent</v>
      </c>
      <c r="E75" s="1" t="s">
        <v>135</v>
      </c>
      <c r="F75" s="1" t="s">
        <v>136</v>
      </c>
      <c r="G75" s="1">
        <v>1</v>
      </c>
      <c r="H75" s="1" t="s">
        <v>15</v>
      </c>
      <c r="I75" s="1"/>
      <c r="J75" s="1"/>
      <c r="K75" s="1"/>
      <c r="L75" s="16" t="s">
        <v>1310</v>
      </c>
    </row>
    <row r="76" spans="1:12" ht="14" x14ac:dyDescent="0.15">
      <c r="A76" s="1" t="s">
        <v>303</v>
      </c>
      <c r="B76" s="2" t="s">
        <v>284</v>
      </c>
      <c r="C76" s="1" t="s">
        <v>306</v>
      </c>
      <c r="D76" s="1" t="str">
        <f t="shared" si="5"/>
        <v>Trait rating: Trump honest</v>
      </c>
      <c r="E76" s="1" t="s">
        <v>135</v>
      </c>
      <c r="F76" s="1" t="s">
        <v>136</v>
      </c>
      <c r="G76" s="1">
        <v>1</v>
      </c>
      <c r="H76" s="1" t="s">
        <v>15</v>
      </c>
      <c r="I76" s="1"/>
      <c r="J76" s="1"/>
      <c r="K76" s="1"/>
      <c r="L76" s="16" t="s">
        <v>1310</v>
      </c>
    </row>
    <row r="77" spans="1:12" ht="14" x14ac:dyDescent="0.15">
      <c r="A77" s="1" t="s">
        <v>303</v>
      </c>
      <c r="B77" s="2" t="s">
        <v>288</v>
      </c>
      <c r="C77" s="1" t="s">
        <v>307</v>
      </c>
      <c r="D77" s="1" t="str">
        <f t="shared" si="5"/>
        <v>Trait rating: Trump selfish</v>
      </c>
      <c r="E77" s="1" t="s">
        <v>135</v>
      </c>
      <c r="F77" s="1" t="s">
        <v>136</v>
      </c>
      <c r="G77" s="1">
        <v>1</v>
      </c>
      <c r="H77" s="1" t="s">
        <v>20</v>
      </c>
      <c r="I77" s="1"/>
      <c r="J77" s="1"/>
      <c r="K77" s="1"/>
      <c r="L77" s="16" t="s">
        <v>1310</v>
      </c>
    </row>
    <row r="78" spans="1:12" ht="14" x14ac:dyDescent="0.15">
      <c r="A78" s="1" t="s">
        <v>303</v>
      </c>
      <c r="B78" s="2" t="s">
        <v>290</v>
      </c>
      <c r="C78" s="1" t="s">
        <v>308</v>
      </c>
      <c r="D78" s="1" t="str">
        <f t="shared" si="5"/>
        <v>Trait rating: Trump mean</v>
      </c>
      <c r="E78" s="1" t="s">
        <v>135</v>
      </c>
      <c r="F78" s="1" t="s">
        <v>136</v>
      </c>
      <c r="G78" s="1">
        <v>1</v>
      </c>
      <c r="H78" s="1" t="s">
        <v>20</v>
      </c>
      <c r="I78" s="1"/>
      <c r="J78" s="1"/>
      <c r="K78" s="1"/>
      <c r="L78" s="16" t="s">
        <v>1310</v>
      </c>
    </row>
    <row r="79" spans="1:12" ht="14" x14ac:dyDescent="0.15">
      <c r="A79" s="1" t="s">
        <v>309</v>
      </c>
      <c r="B79" s="2" t="s">
        <v>280</v>
      </c>
      <c r="C79" s="1" t="s">
        <v>310</v>
      </c>
      <c r="D79" s="1" t="str">
        <f t="shared" ref="D79:D83" si="6">CONCATENATE("Trait rating: Biden ", LOWER(B79))</f>
        <v>Trait rating: Biden patriotic</v>
      </c>
      <c r="E79" s="1" t="s">
        <v>135</v>
      </c>
      <c r="F79" s="1" t="s">
        <v>190</v>
      </c>
      <c r="G79" s="1">
        <v>1</v>
      </c>
      <c r="H79" s="1" t="s">
        <v>20</v>
      </c>
      <c r="I79" s="1"/>
      <c r="J79" s="1"/>
      <c r="K79" s="1"/>
      <c r="L79" s="16" t="s">
        <v>1310</v>
      </c>
    </row>
    <row r="80" spans="1:12" ht="14" x14ac:dyDescent="0.15">
      <c r="A80" s="1" t="s">
        <v>309</v>
      </c>
      <c r="B80" s="2" t="s">
        <v>282</v>
      </c>
      <c r="C80" s="1" t="s">
        <v>311</v>
      </c>
      <c r="D80" s="1" t="str">
        <f t="shared" si="6"/>
        <v>Trait rating: Biden intelligent</v>
      </c>
      <c r="E80" s="1" t="s">
        <v>135</v>
      </c>
      <c r="F80" s="1" t="s">
        <v>190</v>
      </c>
      <c r="G80" s="1">
        <v>1</v>
      </c>
      <c r="H80" s="1" t="s">
        <v>20</v>
      </c>
      <c r="I80" s="1"/>
      <c r="J80" s="1"/>
      <c r="K80" s="1"/>
      <c r="L80" s="16" t="s">
        <v>1310</v>
      </c>
    </row>
    <row r="81" spans="1:12" ht="14" x14ac:dyDescent="0.15">
      <c r="A81" s="1" t="s">
        <v>309</v>
      </c>
      <c r="B81" s="2" t="s">
        <v>284</v>
      </c>
      <c r="C81" s="1" t="s">
        <v>312</v>
      </c>
      <c r="D81" s="1" t="str">
        <f t="shared" si="6"/>
        <v>Trait rating: Biden honest</v>
      </c>
      <c r="E81" s="1" t="s">
        <v>135</v>
      </c>
      <c r="F81" s="1" t="s">
        <v>190</v>
      </c>
      <c r="G81" s="1">
        <v>1</v>
      </c>
      <c r="H81" s="1" t="s">
        <v>20</v>
      </c>
      <c r="I81" s="1"/>
      <c r="J81" s="1"/>
      <c r="K81" s="1"/>
      <c r="L81" s="16" t="s">
        <v>1310</v>
      </c>
    </row>
    <row r="82" spans="1:12" ht="14" x14ac:dyDescent="0.15">
      <c r="A82" s="1" t="s">
        <v>309</v>
      </c>
      <c r="B82" s="2" t="s">
        <v>288</v>
      </c>
      <c r="C82" s="1" t="s">
        <v>313</v>
      </c>
      <c r="D82" s="1" t="str">
        <f t="shared" si="6"/>
        <v>Trait rating: Biden selfish</v>
      </c>
      <c r="E82" s="1" t="s">
        <v>135</v>
      </c>
      <c r="F82" s="1" t="s">
        <v>190</v>
      </c>
      <c r="G82" s="1">
        <v>1</v>
      </c>
      <c r="H82" s="1" t="s">
        <v>15</v>
      </c>
      <c r="I82" s="1"/>
      <c r="J82" s="1"/>
      <c r="K82" s="1"/>
      <c r="L82" s="16" t="s">
        <v>1310</v>
      </c>
    </row>
    <row r="83" spans="1:12" ht="14" x14ac:dyDescent="0.15">
      <c r="A83" s="1" t="s">
        <v>309</v>
      </c>
      <c r="B83" s="2" t="s">
        <v>290</v>
      </c>
      <c r="C83" s="1" t="s">
        <v>314</v>
      </c>
      <c r="D83" s="1" t="str">
        <f t="shared" si="6"/>
        <v>Trait rating: Biden mean</v>
      </c>
      <c r="E83" s="1" t="s">
        <v>135</v>
      </c>
      <c r="F83" s="1" t="s">
        <v>190</v>
      </c>
      <c r="G83" s="1">
        <v>1</v>
      </c>
      <c r="H83" s="1" t="s">
        <v>15</v>
      </c>
      <c r="I83" s="1"/>
      <c r="J83" s="1"/>
      <c r="K83" s="1"/>
      <c r="L83" s="16" t="s">
        <v>1310</v>
      </c>
    </row>
    <row r="84" spans="1:12" ht="98" x14ac:dyDescent="0.15">
      <c r="A84" s="1" t="s">
        <v>315</v>
      </c>
      <c r="B84" s="2" t="s">
        <v>320</v>
      </c>
      <c r="C84" s="1" t="s">
        <v>321</v>
      </c>
      <c r="D84" s="1" t="str">
        <f t="shared" ref="D84:D100" si="7">B84</f>
        <v>Allowing so many people to vote by mail will inevitably lead to widespread fraud in the elections.</v>
      </c>
      <c r="E84" s="1" t="s">
        <v>211</v>
      </c>
      <c r="F84" s="1" t="s">
        <v>212</v>
      </c>
      <c r="G84" s="1">
        <v>1</v>
      </c>
      <c r="H84" s="1" t="s">
        <v>15</v>
      </c>
      <c r="I84" s="1" t="s">
        <v>506</v>
      </c>
      <c r="J84" s="1" t="s">
        <v>322</v>
      </c>
      <c r="K84" s="1"/>
      <c r="L84" s="1" t="s">
        <v>1431</v>
      </c>
    </row>
    <row r="85" spans="1:12" ht="56" x14ac:dyDescent="0.15">
      <c r="A85" s="1" t="s">
        <v>315</v>
      </c>
      <c r="B85" s="2" t="s">
        <v>359</v>
      </c>
      <c r="C85" s="1" t="s">
        <v>360</v>
      </c>
      <c r="D85" s="1" t="str">
        <f t="shared" si="7"/>
        <v>I plan to vote by mail this year.</v>
      </c>
      <c r="E85" s="1" t="s">
        <v>211</v>
      </c>
      <c r="F85" s="1" t="s">
        <v>212</v>
      </c>
      <c r="G85" s="1">
        <v>1</v>
      </c>
      <c r="H85" s="1" t="s">
        <v>20</v>
      </c>
      <c r="I85" s="1" t="s">
        <v>507</v>
      </c>
      <c r="J85" s="1" t="s">
        <v>361</v>
      </c>
      <c r="K85" s="1"/>
      <c r="L85" s="1" t="s">
        <v>1431</v>
      </c>
    </row>
    <row r="86" spans="1:12" ht="42" x14ac:dyDescent="0.15">
      <c r="A86" s="1" t="s">
        <v>315</v>
      </c>
      <c r="B86" s="2" t="s">
        <v>333</v>
      </c>
      <c r="C86" s="1" t="s">
        <v>334</v>
      </c>
      <c r="D86" s="1" t="str">
        <f t="shared" si="7"/>
        <v>Climate change probably played a role in the recent wildfires on the West Coast.</v>
      </c>
      <c r="E86" s="1" t="s">
        <v>508</v>
      </c>
      <c r="F86" s="1" t="s">
        <v>335</v>
      </c>
      <c r="G86" s="1">
        <v>1</v>
      </c>
      <c r="H86" s="1" t="s">
        <v>20</v>
      </c>
      <c r="I86" s="1"/>
      <c r="J86" s="1"/>
      <c r="K86" s="1"/>
      <c r="L86" s="1" t="s">
        <v>1431</v>
      </c>
    </row>
    <row r="87" spans="1:12" ht="42" x14ac:dyDescent="0.15">
      <c r="A87" s="1" t="s">
        <v>315</v>
      </c>
      <c r="B87" s="2" t="s">
        <v>338</v>
      </c>
      <c r="C87" s="1" t="s">
        <v>339</v>
      </c>
      <c r="D87" s="1" t="str">
        <f t="shared" si="7"/>
        <v>If Donald Trump is declared the loser of the election, he will accept the results.</v>
      </c>
      <c r="E87" s="1" t="s">
        <v>508</v>
      </c>
      <c r="F87" s="1" t="s">
        <v>335</v>
      </c>
      <c r="G87" s="1">
        <v>1</v>
      </c>
      <c r="H87" s="1" t="s">
        <v>15</v>
      </c>
      <c r="I87" s="1"/>
      <c r="J87" s="1"/>
      <c r="K87" s="1"/>
      <c r="L87" s="1" t="s">
        <v>1431</v>
      </c>
    </row>
    <row r="88" spans="1:12" ht="56" x14ac:dyDescent="0.15">
      <c r="A88" s="1" t="s">
        <v>315</v>
      </c>
      <c r="B88" s="2" t="s">
        <v>316</v>
      </c>
      <c r="C88" s="1" t="s">
        <v>317</v>
      </c>
      <c r="D88" s="1" t="str">
        <f t="shared" si="7"/>
        <v>What Joe Biden has been saying about the ongoing protests has only made the protests more violent.</v>
      </c>
      <c r="E88" s="1" t="s">
        <v>508</v>
      </c>
      <c r="F88" s="1" t="s">
        <v>319</v>
      </c>
      <c r="G88" s="1">
        <v>1</v>
      </c>
      <c r="H88" s="1" t="s">
        <v>15</v>
      </c>
      <c r="I88" s="1"/>
      <c r="J88" s="1"/>
      <c r="K88" s="1"/>
      <c r="L88" s="1" t="s">
        <v>1431</v>
      </c>
    </row>
    <row r="89" spans="1:12" ht="56" x14ac:dyDescent="0.15">
      <c r="A89" s="1" t="s">
        <v>315</v>
      </c>
      <c r="B89" s="2" t="s">
        <v>323</v>
      </c>
      <c r="C89" s="1" t="s">
        <v>324</v>
      </c>
      <c r="D89" s="1" t="str">
        <f t="shared" si="7"/>
        <v>If I were walking down the street in New York City or Portland right now, it would probably feel like being in a war zone.</v>
      </c>
      <c r="E89" s="1" t="s">
        <v>508</v>
      </c>
      <c r="F89" s="1" t="s">
        <v>319</v>
      </c>
      <c r="G89" s="1">
        <v>1</v>
      </c>
      <c r="H89" s="1" t="s">
        <v>15</v>
      </c>
      <c r="I89" s="1"/>
      <c r="J89" s="1"/>
      <c r="K89" s="1"/>
      <c r="L89" s="1" t="s">
        <v>1431</v>
      </c>
    </row>
    <row r="90" spans="1:12" ht="42" x14ac:dyDescent="0.15">
      <c r="A90" s="1" t="s">
        <v>315</v>
      </c>
      <c r="B90" s="2" t="s">
        <v>325</v>
      </c>
      <c r="C90" s="1" t="s">
        <v>326</v>
      </c>
      <c r="D90" s="1" t="str">
        <f t="shared" si="7"/>
        <v>If Joe Biden is elected President, the protests in America’s cities will only get more violent.</v>
      </c>
      <c r="E90" s="1" t="s">
        <v>508</v>
      </c>
      <c r="F90" s="1" t="s">
        <v>319</v>
      </c>
      <c r="G90" s="1">
        <v>1</v>
      </c>
      <c r="H90" s="1" t="s">
        <v>15</v>
      </c>
      <c r="I90" s="1"/>
      <c r="J90" s="1"/>
      <c r="K90" s="1"/>
      <c r="L90" s="1" t="s">
        <v>1431</v>
      </c>
    </row>
    <row r="91" spans="1:12" ht="56" x14ac:dyDescent="0.15">
      <c r="A91" s="1" t="s">
        <v>315</v>
      </c>
      <c r="B91" s="2" t="s">
        <v>327</v>
      </c>
      <c r="C91" s="1" t="s">
        <v>328</v>
      </c>
      <c r="D91" s="1" t="str">
        <f t="shared" si="7"/>
        <v>The Democratic Party’s views on race are so extreme, even most black people think they are harmful.</v>
      </c>
      <c r="E91" s="1" t="s">
        <v>508</v>
      </c>
      <c r="F91" s="1" t="s">
        <v>319</v>
      </c>
      <c r="G91" s="1">
        <v>1</v>
      </c>
      <c r="H91" s="1" t="s">
        <v>15</v>
      </c>
      <c r="I91" s="1"/>
      <c r="J91" s="1"/>
      <c r="K91" s="1"/>
      <c r="L91" s="1" t="s">
        <v>1431</v>
      </c>
    </row>
    <row r="92" spans="1:12" ht="56" x14ac:dyDescent="0.15">
      <c r="A92" s="1" t="s">
        <v>315</v>
      </c>
      <c r="B92" s="2" t="s">
        <v>329</v>
      </c>
      <c r="C92" s="1" t="s">
        <v>330</v>
      </c>
      <c r="D92" s="1" t="str">
        <f t="shared" si="7"/>
        <v>If Joe Biden is elected President, we’ll see many more police get shot by Black Lives Matter activists.</v>
      </c>
      <c r="E92" s="1" t="s">
        <v>508</v>
      </c>
      <c r="F92" s="1" t="s">
        <v>319</v>
      </c>
      <c r="G92" s="1">
        <v>1</v>
      </c>
      <c r="H92" s="1" t="s">
        <v>15</v>
      </c>
      <c r="I92" s="1"/>
      <c r="J92" s="1"/>
      <c r="K92" s="1"/>
      <c r="L92" s="1" t="s">
        <v>1431</v>
      </c>
    </row>
    <row r="93" spans="1:12" ht="42" x14ac:dyDescent="0.15">
      <c r="A93" s="1" t="s">
        <v>315</v>
      </c>
      <c r="B93" s="2" t="s">
        <v>331</v>
      </c>
      <c r="C93" s="1" t="s">
        <v>332</v>
      </c>
      <c r="D93" s="1" t="str">
        <f t="shared" si="7"/>
        <v>I think many Biden supporters are probably happy to see it when police officers get shot.</v>
      </c>
      <c r="E93" s="1" t="s">
        <v>508</v>
      </c>
      <c r="F93" s="1" t="s">
        <v>319</v>
      </c>
      <c r="G93" s="1">
        <v>1</v>
      </c>
      <c r="H93" s="1" t="s">
        <v>15</v>
      </c>
      <c r="I93" s="1"/>
      <c r="J93" s="1"/>
      <c r="K93" s="1"/>
      <c r="L93" s="1" t="s">
        <v>1431</v>
      </c>
    </row>
    <row r="94" spans="1:12" ht="42" x14ac:dyDescent="0.15">
      <c r="A94" s="1" t="s">
        <v>315</v>
      </c>
      <c r="B94" s="2" t="s">
        <v>336</v>
      </c>
      <c r="C94" s="1" t="s">
        <v>337</v>
      </c>
      <c r="D94" s="1" t="str">
        <f t="shared" si="7"/>
        <v>Democrats are trying to steal the election with fraudulent mail-in ballots.</v>
      </c>
      <c r="E94" s="1" t="s">
        <v>508</v>
      </c>
      <c r="F94" s="1" t="s">
        <v>319</v>
      </c>
      <c r="G94" s="1">
        <v>1</v>
      </c>
      <c r="H94" s="1" t="s">
        <v>15</v>
      </c>
      <c r="I94" s="1"/>
      <c r="J94" s="1"/>
      <c r="K94" s="1"/>
      <c r="L94" s="1" t="s">
        <v>1431</v>
      </c>
    </row>
    <row r="95" spans="1:12" ht="42" x14ac:dyDescent="0.15">
      <c r="A95" s="1" t="s">
        <v>315</v>
      </c>
      <c r="B95" s="2" t="s">
        <v>342</v>
      </c>
      <c r="C95" s="1" t="s">
        <v>343</v>
      </c>
      <c r="D95" s="1" t="str">
        <f t="shared" si="7"/>
        <v>Recent calls to “defund the police” have led to increases in violent crime in American cities.</v>
      </c>
      <c r="E95" s="1" t="s">
        <v>508</v>
      </c>
      <c r="F95" s="1" t="s">
        <v>319</v>
      </c>
      <c r="G95" s="1">
        <v>1</v>
      </c>
      <c r="H95" s="1" t="s">
        <v>15</v>
      </c>
      <c r="I95" s="1"/>
      <c r="J95" s="1"/>
      <c r="K95" s="1"/>
      <c r="L95" s="1" t="s">
        <v>1431</v>
      </c>
    </row>
    <row r="96" spans="1:12" ht="42" x14ac:dyDescent="0.15">
      <c r="A96" s="1" t="s">
        <v>315</v>
      </c>
      <c r="B96" s="2" t="s">
        <v>346</v>
      </c>
      <c r="C96" s="1" t="s">
        <v>347</v>
      </c>
      <c r="D96" s="1" t="str">
        <f t="shared" si="7"/>
        <v>Blacks are treated just as fairly as whites when dealing with the police.</v>
      </c>
      <c r="E96" s="1" t="s">
        <v>508</v>
      </c>
      <c r="F96" s="1" t="s">
        <v>319</v>
      </c>
      <c r="G96" s="1">
        <v>1</v>
      </c>
      <c r="H96" s="1" t="s">
        <v>15</v>
      </c>
      <c r="I96" s="1"/>
      <c r="J96" s="1"/>
      <c r="K96" s="1"/>
      <c r="L96" s="1" t="s">
        <v>1431</v>
      </c>
    </row>
    <row r="97" spans="1:12" ht="70" x14ac:dyDescent="0.15">
      <c r="A97" s="1" t="s">
        <v>315</v>
      </c>
      <c r="B97" s="2" t="s">
        <v>357</v>
      </c>
      <c r="C97" s="1" t="s">
        <v>358</v>
      </c>
      <c r="D97" s="1" t="str">
        <f t="shared" si="7"/>
        <v>If elected president, Joe Biden will do whatever it is that radical left socialists like Alexandria Ocasio-Cortez and Bernie Sanders tell him to do.</v>
      </c>
      <c r="E97" s="1" t="s">
        <v>508</v>
      </c>
      <c r="F97" s="1" t="s">
        <v>319</v>
      </c>
      <c r="G97" s="1">
        <v>1</v>
      </c>
      <c r="H97" s="1" t="s">
        <v>15</v>
      </c>
      <c r="I97" s="1"/>
      <c r="J97" s="1"/>
      <c r="K97" s="1"/>
      <c r="L97" s="1" t="s">
        <v>1431</v>
      </c>
    </row>
    <row r="98" spans="1:12" ht="42" x14ac:dyDescent="0.15">
      <c r="A98" s="1" t="s">
        <v>315</v>
      </c>
      <c r="B98" s="2" t="s">
        <v>340</v>
      </c>
      <c r="C98" s="1" t="s">
        <v>341</v>
      </c>
      <c r="D98" s="1" t="str">
        <f t="shared" si="7"/>
        <v>I support the recent protests against police (for example, “Black Lives Matter”).</v>
      </c>
      <c r="E98" s="1" t="s">
        <v>211</v>
      </c>
      <c r="F98" s="1" t="s">
        <v>212</v>
      </c>
      <c r="G98" s="1">
        <v>1</v>
      </c>
      <c r="H98" s="1" t="s">
        <v>20</v>
      </c>
      <c r="I98" s="1"/>
      <c r="J98" s="1"/>
      <c r="K98" s="1"/>
      <c r="L98" s="1" t="s">
        <v>1431</v>
      </c>
    </row>
    <row r="99" spans="1:12" ht="42" x14ac:dyDescent="0.15">
      <c r="A99" s="1" t="s">
        <v>315</v>
      </c>
      <c r="B99" s="2" t="s">
        <v>344</v>
      </c>
      <c r="C99" s="1" t="s">
        <v>345</v>
      </c>
      <c r="D99" s="1" t="str">
        <f t="shared" si="7"/>
        <v>Schools and companies should teach people about racism in the United States.</v>
      </c>
      <c r="E99" s="1" t="s">
        <v>211</v>
      </c>
      <c r="F99" s="1" t="s">
        <v>212</v>
      </c>
      <c r="G99" s="1">
        <v>1</v>
      </c>
      <c r="H99" s="1" t="s">
        <v>20</v>
      </c>
      <c r="I99" s="1"/>
      <c r="J99" s="1"/>
      <c r="K99" s="1"/>
      <c r="L99" s="1" t="s">
        <v>1431</v>
      </c>
    </row>
    <row r="100" spans="1:12" ht="98" x14ac:dyDescent="0.15">
      <c r="A100" s="1" t="s">
        <v>315</v>
      </c>
      <c r="B100" s="2" t="s">
        <v>348</v>
      </c>
      <c r="C100" s="1" t="s">
        <v>349</v>
      </c>
      <c r="D100" s="1" t="str">
        <f t="shared" si="7"/>
        <v>Global warming is happening.</v>
      </c>
      <c r="E100" s="1" t="s">
        <v>211</v>
      </c>
      <c r="F100" s="1" t="s">
        <v>212</v>
      </c>
      <c r="G100" s="1">
        <v>1</v>
      </c>
      <c r="H100" s="1" t="s">
        <v>20</v>
      </c>
      <c r="I100" s="1"/>
      <c r="J100" s="1" t="s">
        <v>322</v>
      </c>
      <c r="K100" s="1"/>
      <c r="L100" s="1" t="s">
        <v>1431</v>
      </c>
    </row>
    <row r="101" spans="1:12" ht="56" x14ac:dyDescent="0.15">
      <c r="A101" s="1" t="s">
        <v>362</v>
      </c>
      <c r="B101" s="1" t="s">
        <v>363</v>
      </c>
      <c r="C101" s="1" t="s">
        <v>364</v>
      </c>
      <c r="D101" s="1" t="s">
        <v>365</v>
      </c>
      <c r="E101" s="1" t="s">
        <v>135</v>
      </c>
      <c r="F101" s="1" t="s">
        <v>198</v>
      </c>
      <c r="G101" s="1">
        <v>1</v>
      </c>
      <c r="H101" s="1" t="s">
        <v>366</v>
      </c>
      <c r="I101" s="1"/>
      <c r="J101" s="1" t="s">
        <v>367</v>
      </c>
      <c r="K101" s="1"/>
      <c r="L101" s="16" t="s">
        <v>975</v>
      </c>
    </row>
    <row r="102" spans="1:12" ht="70" x14ac:dyDescent="0.15">
      <c r="A102" s="1" t="s">
        <v>368</v>
      </c>
      <c r="B102" s="2" t="s">
        <v>374</v>
      </c>
      <c r="C102" s="1" t="s">
        <v>375</v>
      </c>
      <c r="D102" s="1" t="str">
        <f>B102</f>
        <v>If a journalist accuses a Republican politician of misconduct without naming their sources, the journalist should be criminally investigated.</v>
      </c>
      <c r="E102" s="1" t="s">
        <v>85</v>
      </c>
      <c r="F102" s="1" t="s">
        <v>86</v>
      </c>
      <c r="G102" s="1">
        <v>1</v>
      </c>
      <c r="H102" s="1" t="s">
        <v>15</v>
      </c>
      <c r="I102" s="1"/>
      <c r="J102" s="1"/>
      <c r="K102" s="1"/>
      <c r="L102" s="1" t="s">
        <v>1431</v>
      </c>
    </row>
    <row r="103" spans="1:12" ht="112" x14ac:dyDescent="0.15">
      <c r="A103" s="1" t="s">
        <v>382</v>
      </c>
      <c r="B103" s="2" t="s">
        <v>390</v>
      </c>
      <c r="C103" s="1" t="s">
        <v>391</v>
      </c>
      <c r="D103" s="1" t="str">
        <f t="shared" ref="D103:D108" si="8">CONCATENATE("Biden supports: ", B103)</f>
        <v>Biden supports: Create a new government insurance option like Medicare, allowing Americans to keep their private insurance if they want, but also allowing them to choose to have government health insurance if they want it instead.</v>
      </c>
      <c r="E103" s="1" t="s">
        <v>385</v>
      </c>
      <c r="F103" s="1" t="s">
        <v>392</v>
      </c>
      <c r="G103" s="1">
        <v>1</v>
      </c>
      <c r="H103" s="1" t="s">
        <v>20</v>
      </c>
      <c r="I103" s="1"/>
      <c r="J103" s="1" t="s">
        <v>387</v>
      </c>
      <c r="K103" s="1"/>
      <c r="L103" s="1" t="s">
        <v>387</v>
      </c>
    </row>
    <row r="104" spans="1:12" ht="42" x14ac:dyDescent="0.15">
      <c r="A104" s="1" t="s">
        <v>382</v>
      </c>
      <c r="B104" s="2" t="s">
        <v>393</v>
      </c>
      <c r="C104" s="1" t="s">
        <v>394</v>
      </c>
      <c r="D104" s="1" t="str">
        <f t="shared" si="8"/>
        <v>Biden supports: Increase taxes on corporations and wealthy people.</v>
      </c>
      <c r="E104" s="1" t="s">
        <v>385</v>
      </c>
      <c r="F104" s="1" t="s">
        <v>392</v>
      </c>
      <c r="G104" s="1">
        <v>1</v>
      </c>
      <c r="H104" s="1" t="s">
        <v>20</v>
      </c>
      <c r="I104" s="1"/>
      <c r="J104" s="1" t="s">
        <v>387</v>
      </c>
      <c r="K104" s="1"/>
      <c r="L104" s="1" t="s">
        <v>387</v>
      </c>
    </row>
    <row r="105" spans="1:12" ht="28" x14ac:dyDescent="0.15">
      <c r="A105" s="1" t="s">
        <v>382</v>
      </c>
      <c r="B105" s="2" t="s">
        <v>383</v>
      </c>
      <c r="C105" s="1" t="s">
        <v>384</v>
      </c>
      <c r="D105" s="1" t="str">
        <f t="shared" si="8"/>
        <v>Biden supports: Eliminate all funding for the police.</v>
      </c>
      <c r="E105" s="1" t="s">
        <v>385</v>
      </c>
      <c r="F105" s="1" t="s">
        <v>386</v>
      </c>
      <c r="G105" s="1">
        <v>1</v>
      </c>
      <c r="H105" s="1" t="s">
        <v>15</v>
      </c>
      <c r="I105" s="1"/>
      <c r="J105" s="1" t="s">
        <v>387</v>
      </c>
      <c r="K105" s="1"/>
      <c r="L105" s="1" t="s">
        <v>387</v>
      </c>
    </row>
    <row r="106" spans="1:12" ht="56" x14ac:dyDescent="0.15">
      <c r="A106" s="1" t="s">
        <v>382</v>
      </c>
      <c r="B106" s="2" t="s">
        <v>388</v>
      </c>
      <c r="C106" s="1" t="s">
        <v>389</v>
      </c>
      <c r="D106" s="1" t="str">
        <f t="shared" si="8"/>
        <v>Biden supports: Tear down statues of anyone who owned slaves, including George Washington.</v>
      </c>
      <c r="E106" s="1" t="s">
        <v>385</v>
      </c>
      <c r="F106" s="1" t="s">
        <v>386</v>
      </c>
      <c r="G106" s="1">
        <v>1</v>
      </c>
      <c r="H106" s="1" t="s">
        <v>15</v>
      </c>
      <c r="I106" s="1"/>
      <c r="J106" s="1" t="s">
        <v>387</v>
      </c>
      <c r="K106" s="1"/>
      <c r="L106" s="1" t="s">
        <v>387</v>
      </c>
    </row>
    <row r="107" spans="1:12" ht="70" x14ac:dyDescent="0.15">
      <c r="A107" s="1" t="s">
        <v>382</v>
      </c>
      <c r="B107" s="2" t="s">
        <v>395</v>
      </c>
      <c r="C107" s="1" t="s">
        <v>396</v>
      </c>
      <c r="D107" s="1" t="str">
        <f t="shared" si="8"/>
        <v>Biden supports: Racial minorities should receive special treatment in hiring and college admissions to make up for past discrimination.</v>
      </c>
      <c r="E107" s="1" t="s">
        <v>385</v>
      </c>
      <c r="F107" s="1" t="s">
        <v>386</v>
      </c>
      <c r="G107" s="1">
        <v>1</v>
      </c>
      <c r="H107" s="1" t="s">
        <v>15</v>
      </c>
      <c r="I107" s="1"/>
      <c r="J107" s="1" t="s">
        <v>387</v>
      </c>
      <c r="K107" s="1"/>
      <c r="L107" s="1" t="s">
        <v>387</v>
      </c>
    </row>
    <row r="108" spans="1:12" ht="56" x14ac:dyDescent="0.15">
      <c r="A108" s="1" t="s">
        <v>382</v>
      </c>
      <c r="B108" s="2" t="s">
        <v>397</v>
      </c>
      <c r="C108" s="1" t="s">
        <v>398</v>
      </c>
      <c r="D108" s="1" t="str">
        <f t="shared" si="8"/>
        <v>Biden supports: Substantially increase government spending by trillions of dollars over the next decade.</v>
      </c>
      <c r="E108" s="1" t="s">
        <v>385</v>
      </c>
      <c r="F108" s="1" t="s">
        <v>386</v>
      </c>
      <c r="G108" s="1">
        <v>1</v>
      </c>
      <c r="H108" s="1" t="s">
        <v>15</v>
      </c>
      <c r="I108" s="1"/>
      <c r="J108" s="1" t="s">
        <v>387</v>
      </c>
      <c r="K108" s="1"/>
      <c r="L108" s="1" t="s">
        <v>387</v>
      </c>
    </row>
    <row r="109" spans="1:12" ht="42" x14ac:dyDescent="0.15">
      <c r="A109" s="1" t="s">
        <v>399</v>
      </c>
      <c r="B109" s="2" t="s">
        <v>400</v>
      </c>
      <c r="C109" s="1" t="s">
        <v>401</v>
      </c>
      <c r="D109" s="1" t="str">
        <f t="shared" ref="D109:D113" si="9">CONCATENATE("Trump supports: ", B109)</f>
        <v>Trump supports: Open America's public schools for in-person classes this fall.</v>
      </c>
      <c r="E109" s="1" t="s">
        <v>385</v>
      </c>
      <c r="F109" s="1" t="s">
        <v>402</v>
      </c>
      <c r="G109" s="1">
        <v>1</v>
      </c>
      <c r="H109" s="1" t="s">
        <v>20</v>
      </c>
      <c r="I109" s="1"/>
      <c r="J109" s="1" t="s">
        <v>387</v>
      </c>
      <c r="K109" s="1"/>
      <c r="L109" s="1" t="s">
        <v>387</v>
      </c>
    </row>
    <row r="110" spans="1:12" ht="28" x14ac:dyDescent="0.15">
      <c r="A110" s="1" t="s">
        <v>399</v>
      </c>
      <c r="B110" s="2" t="s">
        <v>403</v>
      </c>
      <c r="C110" s="1" t="s">
        <v>404</v>
      </c>
      <c r="D110" s="1" t="str">
        <f t="shared" si="9"/>
        <v>Trump supports: Americans should wear masks in public.</v>
      </c>
      <c r="E110" s="1" t="s">
        <v>385</v>
      </c>
      <c r="F110" s="1" t="s">
        <v>402</v>
      </c>
      <c r="G110" s="1">
        <v>1</v>
      </c>
      <c r="H110" s="1" t="s">
        <v>15</v>
      </c>
      <c r="I110" s="1"/>
      <c r="J110" s="1" t="s">
        <v>387</v>
      </c>
      <c r="K110" s="1"/>
      <c r="L110" s="1" t="s">
        <v>387</v>
      </c>
    </row>
    <row r="111" spans="1:12" ht="42" x14ac:dyDescent="0.15">
      <c r="A111" s="1" t="s">
        <v>399</v>
      </c>
      <c r="B111" s="2" t="s">
        <v>405</v>
      </c>
      <c r="C111" s="1" t="s">
        <v>406</v>
      </c>
      <c r="D111" s="1" t="str">
        <f t="shared" si="9"/>
        <v>Trump supports: All Americans should be allowed to vote by mail.</v>
      </c>
      <c r="E111" s="1" t="s">
        <v>385</v>
      </c>
      <c r="F111" s="1" t="s">
        <v>402</v>
      </c>
      <c r="G111" s="1">
        <v>1</v>
      </c>
      <c r="H111" s="1" t="s">
        <v>15</v>
      </c>
      <c r="I111" s="1"/>
      <c r="J111" s="1" t="s">
        <v>387</v>
      </c>
      <c r="K111" s="1"/>
      <c r="L111" s="1" t="s">
        <v>387</v>
      </c>
    </row>
    <row r="112" spans="1:12" ht="70" x14ac:dyDescent="0.15">
      <c r="A112" s="1" t="s">
        <v>399</v>
      </c>
      <c r="B112" s="2" t="s">
        <v>407</v>
      </c>
      <c r="C112" s="1" t="s">
        <v>408</v>
      </c>
      <c r="D112" s="1" t="str">
        <f t="shared" si="9"/>
        <v>Trump supports: Repeal the law that prohibits insurance companies from charging people more if they have pre-existing medical conditions.</v>
      </c>
      <c r="E112" s="1" t="s">
        <v>385</v>
      </c>
      <c r="F112" s="1" t="s">
        <v>402</v>
      </c>
      <c r="G112" s="1">
        <v>1</v>
      </c>
      <c r="H112" s="1" t="s">
        <v>20</v>
      </c>
      <c r="I112" s="1"/>
      <c r="J112" s="1" t="s">
        <v>387</v>
      </c>
      <c r="K112" s="1"/>
      <c r="L112" s="1" t="s">
        <v>387</v>
      </c>
    </row>
    <row r="113" spans="1:12" ht="42" x14ac:dyDescent="0.15">
      <c r="A113" s="1" t="s">
        <v>399</v>
      </c>
      <c r="B113" s="2" t="s">
        <v>393</v>
      </c>
      <c r="C113" s="1" t="s">
        <v>409</v>
      </c>
      <c r="D113" s="1" t="str">
        <f t="shared" si="9"/>
        <v>Trump supports: Increase taxes on corporations and wealthy people.</v>
      </c>
      <c r="E113" s="1" t="s">
        <v>385</v>
      </c>
      <c r="F113" s="1" t="s">
        <v>402</v>
      </c>
      <c r="G113" s="1">
        <v>1</v>
      </c>
      <c r="H113" s="1" t="s">
        <v>15</v>
      </c>
      <c r="I113" s="1"/>
      <c r="J113" s="1" t="s">
        <v>387</v>
      </c>
      <c r="K113" s="1"/>
      <c r="L113" s="1" t="s">
        <v>387</v>
      </c>
    </row>
    <row r="114" spans="1:12" ht="28" x14ac:dyDescent="0.15">
      <c r="A114" s="1" t="s">
        <v>410</v>
      </c>
      <c r="B114" s="2" t="s">
        <v>414</v>
      </c>
      <c r="C114" s="1" t="s">
        <v>415</v>
      </c>
      <c r="D114" s="1" t="str">
        <f t="shared" ref="D114:D125" si="10">CONCATENATE("T/F: ", B114)</f>
        <v>T/F: Over 200,000 Americans have died from COVID-19.</v>
      </c>
      <c r="E114" s="1" t="s">
        <v>508</v>
      </c>
      <c r="F114" s="1" t="s">
        <v>335</v>
      </c>
      <c r="G114" s="1">
        <v>1</v>
      </c>
      <c r="H114" s="1" t="s">
        <v>20</v>
      </c>
      <c r="I114" s="1"/>
      <c r="J114" s="1" t="s">
        <v>413</v>
      </c>
      <c r="K114" s="1"/>
      <c r="L114" s="1" t="s">
        <v>423</v>
      </c>
    </row>
    <row r="115" spans="1:12" ht="112" x14ac:dyDescent="0.15">
      <c r="A115" s="1" t="s">
        <v>410</v>
      </c>
      <c r="B115" s="2" t="s">
        <v>416</v>
      </c>
      <c r="C115" s="1" t="s">
        <v>417</v>
      </c>
      <c r="D115" s="1" t="str">
        <f t="shared" si="10"/>
        <v>T/F: The Department of Homeland Security recently warned that the Russian government is trying to undermine confidence in the 2020 election by promoting claims that mail-in voting encourages fraud.</v>
      </c>
      <c r="E115" s="1" t="s">
        <v>508</v>
      </c>
      <c r="F115" s="1" t="s">
        <v>335</v>
      </c>
      <c r="G115" s="1">
        <v>1</v>
      </c>
      <c r="H115" s="1" t="s">
        <v>20</v>
      </c>
      <c r="I115" s="1"/>
      <c r="J115" s="1" t="s">
        <v>413</v>
      </c>
      <c r="K115" s="1"/>
      <c r="L115" s="1" t="s">
        <v>423</v>
      </c>
    </row>
    <row r="116" spans="1:12" ht="56" x14ac:dyDescent="0.15">
      <c r="A116" s="1" t="s">
        <v>410</v>
      </c>
      <c r="B116" s="2" t="s">
        <v>431</v>
      </c>
      <c r="C116" s="1" t="s">
        <v>432</v>
      </c>
      <c r="D116" s="1" t="str">
        <f t="shared" si="10"/>
        <v>T/F: Russian President Vladimir Putin has been interfering in this year’s Presidential election to help Donald Trump.</v>
      </c>
      <c r="E116" s="1" t="s">
        <v>508</v>
      </c>
      <c r="F116" s="1" t="s">
        <v>335</v>
      </c>
      <c r="G116" s="1">
        <v>1</v>
      </c>
      <c r="H116" s="1" t="s">
        <v>20</v>
      </c>
      <c r="I116" s="1"/>
      <c r="J116" s="1" t="s">
        <v>423</v>
      </c>
      <c r="K116" s="1"/>
      <c r="L116" s="1" t="s">
        <v>423</v>
      </c>
    </row>
    <row r="117" spans="1:12" ht="84" x14ac:dyDescent="0.15">
      <c r="A117" s="1" t="s">
        <v>410</v>
      </c>
      <c r="B117" s="2" t="s">
        <v>440</v>
      </c>
      <c r="C117" s="1" t="s">
        <v>441</v>
      </c>
      <c r="D117" s="1" t="str">
        <f t="shared" si="10"/>
        <v>T/F: Donald Trump’s campaign is taking significant safety precautions at its rallies to reduce the risk that rally attendees spread the coronavirus to each other.</v>
      </c>
      <c r="E117" s="1" t="s">
        <v>508</v>
      </c>
      <c r="F117" s="1" t="s">
        <v>335</v>
      </c>
      <c r="G117" s="1">
        <v>1</v>
      </c>
      <c r="H117" s="1" t="s">
        <v>15</v>
      </c>
      <c r="I117" s="1"/>
      <c r="J117" s="1" t="s">
        <v>423</v>
      </c>
      <c r="K117" s="1"/>
      <c r="L117" s="1" t="s">
        <v>423</v>
      </c>
    </row>
    <row r="118" spans="1:12" ht="42" x14ac:dyDescent="0.15">
      <c r="A118" s="5" t="s">
        <v>410</v>
      </c>
      <c r="B118" s="6" t="s">
        <v>444</v>
      </c>
      <c r="C118" s="5" t="s">
        <v>445</v>
      </c>
      <c r="D118" s="1" t="str">
        <f t="shared" si="10"/>
        <v xml:space="preserve">T/F: Donald Trump only paid $750 in federal income taxes the year he won the presidency. </v>
      </c>
      <c r="E118" s="1" t="s">
        <v>508</v>
      </c>
      <c r="F118" s="5" t="s">
        <v>335</v>
      </c>
      <c r="G118" s="1">
        <v>1</v>
      </c>
      <c r="H118" s="5" t="s">
        <v>20</v>
      </c>
      <c r="I118" s="5"/>
      <c r="J118" s="5" t="s">
        <v>446</v>
      </c>
      <c r="K118" s="1"/>
      <c r="L118" s="1" t="s">
        <v>423</v>
      </c>
    </row>
    <row r="119" spans="1:12" ht="42" x14ac:dyDescent="0.15">
      <c r="A119" s="1" t="s">
        <v>410</v>
      </c>
      <c r="B119" s="2" t="s">
        <v>433</v>
      </c>
      <c r="C119" s="1" t="s">
        <v>434</v>
      </c>
      <c r="D119" s="1" t="str">
        <f t="shared" si="10"/>
        <v>T/F: There is much more violent crime in big cities in America than there used to be.</v>
      </c>
      <c r="E119" s="1" t="s">
        <v>508</v>
      </c>
      <c r="F119" s="1" t="s">
        <v>319</v>
      </c>
      <c r="G119" s="1">
        <v>1</v>
      </c>
      <c r="H119" s="1" t="s">
        <v>15</v>
      </c>
      <c r="I119" s="1"/>
      <c r="J119" s="1" t="s">
        <v>423</v>
      </c>
      <c r="K119" s="1"/>
      <c r="L119" s="1" t="s">
        <v>423</v>
      </c>
    </row>
    <row r="120" spans="1:12" ht="56" x14ac:dyDescent="0.15">
      <c r="A120" s="1" t="s">
        <v>410</v>
      </c>
      <c r="B120" s="2" t="s">
        <v>438</v>
      </c>
      <c r="C120" s="1" t="s">
        <v>439</v>
      </c>
      <c r="D120" s="1" t="str">
        <f t="shared" si="10"/>
        <v>T/F: Billionaires have been paying to bail rioters out of jail so they can get back on the streets and continue rioting.</v>
      </c>
      <c r="E120" s="1" t="s">
        <v>508</v>
      </c>
      <c r="F120" s="1" t="s">
        <v>319</v>
      </c>
      <c r="G120" s="1">
        <v>1</v>
      </c>
      <c r="H120" s="1" t="s">
        <v>15</v>
      </c>
      <c r="I120" s="1"/>
      <c r="J120" s="1" t="s">
        <v>423</v>
      </c>
      <c r="K120" s="1"/>
      <c r="L120" s="1" t="s">
        <v>423</v>
      </c>
    </row>
    <row r="121" spans="1:12" ht="70" x14ac:dyDescent="0.15">
      <c r="A121" s="1" t="s">
        <v>410</v>
      </c>
      <c r="B121" s="2" t="s">
        <v>429</v>
      </c>
      <c r="C121" s="1" t="s">
        <v>430</v>
      </c>
      <c r="D121" s="1" t="str">
        <f t="shared" si="10"/>
        <v>T/F: A large number of former military leaders and former Republican leaders have endorsed Joe Biden for President.</v>
      </c>
      <c r="E121" s="1" t="s">
        <v>385</v>
      </c>
      <c r="F121" s="1" t="s">
        <v>392</v>
      </c>
      <c r="G121" s="1">
        <v>1</v>
      </c>
      <c r="H121" s="1" t="s">
        <v>20</v>
      </c>
      <c r="I121" s="1"/>
      <c r="J121" s="1" t="s">
        <v>423</v>
      </c>
      <c r="K121" s="1"/>
      <c r="L121" s="1" t="s">
        <v>423</v>
      </c>
    </row>
    <row r="122" spans="1:12" ht="42" x14ac:dyDescent="0.15">
      <c r="A122" s="1" t="s">
        <v>410</v>
      </c>
      <c r="B122" s="2" t="s">
        <v>418</v>
      </c>
      <c r="C122" s="1" t="s">
        <v>419</v>
      </c>
      <c r="D122" s="1" t="str">
        <f t="shared" si="10"/>
        <v>T/F: Joe Biden has condemned violence at recent Black Lives Matter protests.</v>
      </c>
      <c r="E122" s="1" t="s">
        <v>385</v>
      </c>
      <c r="F122" s="1" t="s">
        <v>386</v>
      </c>
      <c r="G122" s="1">
        <v>1</v>
      </c>
      <c r="H122" s="1" t="s">
        <v>20</v>
      </c>
      <c r="I122" s="1"/>
      <c r="J122" s="1" t="s">
        <v>420</v>
      </c>
      <c r="K122" s="1"/>
      <c r="L122" s="1" t="s">
        <v>423</v>
      </c>
    </row>
    <row r="123" spans="1:12" ht="42" x14ac:dyDescent="0.15">
      <c r="A123" s="1" t="s">
        <v>410</v>
      </c>
      <c r="B123" s="2" t="s">
        <v>411</v>
      </c>
      <c r="C123" s="1" t="s">
        <v>412</v>
      </c>
      <c r="D123" s="1" t="str">
        <f t="shared" si="10"/>
        <v>T/F: Trump said that he would accept the results of the election if he is declared the loser.</v>
      </c>
      <c r="E123" s="1" t="s">
        <v>385</v>
      </c>
      <c r="F123" s="1" t="s">
        <v>402</v>
      </c>
      <c r="G123" s="1">
        <v>1</v>
      </c>
      <c r="H123" s="1" t="s">
        <v>15</v>
      </c>
      <c r="I123" s="1"/>
      <c r="J123" s="1" t="s">
        <v>413</v>
      </c>
      <c r="K123" s="1"/>
      <c r="L123" s="1" t="s">
        <v>423</v>
      </c>
    </row>
    <row r="124" spans="1:12" ht="70" x14ac:dyDescent="0.15">
      <c r="A124" s="1" t="s">
        <v>410</v>
      </c>
      <c r="B124" s="2" t="s">
        <v>421</v>
      </c>
      <c r="C124" s="1" t="s">
        <v>422</v>
      </c>
      <c r="D124" s="1" t="str">
        <f t="shared" si="10"/>
        <v>T/F: President Donald Trump referred to US soldiers who died in combat and are buried at the Aisne-Marne cemetery as "losers" and "suckers."</v>
      </c>
      <c r="E124" s="1" t="s">
        <v>385</v>
      </c>
      <c r="F124" s="1" t="s">
        <v>402</v>
      </c>
      <c r="G124" s="1">
        <v>1</v>
      </c>
      <c r="H124" s="1" t="s">
        <v>20</v>
      </c>
      <c r="I124" s="1"/>
      <c r="J124" s="1" t="s">
        <v>423</v>
      </c>
      <c r="K124" s="1"/>
      <c r="L124" s="1" t="s">
        <v>423</v>
      </c>
    </row>
    <row r="125" spans="1:12" ht="56" x14ac:dyDescent="0.15">
      <c r="A125" s="1" t="s">
        <v>410</v>
      </c>
      <c r="B125" s="2" t="s">
        <v>427</v>
      </c>
      <c r="C125" s="1" t="s">
        <v>428</v>
      </c>
      <c r="D125" s="1" t="str">
        <f t="shared" si="10"/>
        <v>T/F: Back in February, Donald Trump admitted privately that he knew the coronavirus was much more deadly than the flu.</v>
      </c>
      <c r="E125" s="1" t="s">
        <v>385</v>
      </c>
      <c r="F125" s="1" t="s">
        <v>402</v>
      </c>
      <c r="G125" s="1">
        <v>1</v>
      </c>
      <c r="H125" s="1" t="s">
        <v>20</v>
      </c>
      <c r="I125" s="1"/>
      <c r="J125" s="1" t="s">
        <v>423</v>
      </c>
      <c r="K125" s="1"/>
      <c r="L125" s="1" t="s">
        <v>423</v>
      </c>
    </row>
    <row r="126" spans="1:12" ht="140" x14ac:dyDescent="0.15">
      <c r="A126" s="1" t="s">
        <v>447</v>
      </c>
      <c r="B126" s="2" t="s">
        <v>455</v>
      </c>
      <c r="C126" t="s">
        <v>456</v>
      </c>
      <c r="D126" s="1" t="str">
        <f t="shared" ref="D126:D127" si="11">CONCATENATE("Ideological distance from self: ", B126)</f>
        <v>Ideological distance from self: The Average Person who Votes for Democrats</v>
      </c>
      <c r="E126" s="1" t="s">
        <v>38</v>
      </c>
      <c r="F126" s="1" t="s">
        <v>126</v>
      </c>
      <c r="G126" s="1">
        <v>1</v>
      </c>
      <c r="H126" s="1" t="s">
        <v>15</v>
      </c>
      <c r="I126" s="1"/>
      <c r="J126" s="1" t="s">
        <v>457</v>
      </c>
      <c r="K126" s="1"/>
      <c r="L126" s="1" t="s">
        <v>454</v>
      </c>
    </row>
    <row r="127" spans="1:12" ht="140" x14ac:dyDescent="0.15">
      <c r="A127" s="1" t="s">
        <v>447</v>
      </c>
      <c r="B127" s="2" t="s">
        <v>458</v>
      </c>
      <c r="C127" t="s">
        <v>459</v>
      </c>
      <c r="D127" s="1" t="str">
        <f t="shared" si="11"/>
        <v>Ideological distance from self: The Average Person who Votes for Republicans</v>
      </c>
      <c r="E127" s="1" t="s">
        <v>38</v>
      </c>
      <c r="F127" s="1" t="s">
        <v>195</v>
      </c>
      <c r="G127" s="1">
        <v>1</v>
      </c>
      <c r="H127" s="1" t="s">
        <v>20</v>
      </c>
      <c r="I127" s="1"/>
      <c r="J127" s="1" t="s">
        <v>457</v>
      </c>
      <c r="K127" s="1"/>
      <c r="L127" s="1" t="s">
        <v>454</v>
      </c>
    </row>
    <row r="128" spans="1:12" ht="42" x14ac:dyDescent="0.15">
      <c r="A128" s="1" t="s">
        <v>447</v>
      </c>
      <c r="B128" s="2" t="s">
        <v>448</v>
      </c>
      <c r="C128" t="s">
        <v>449</v>
      </c>
      <c r="D128" s="1" t="str">
        <f t="shared" ref="D128:D129" si="12">CONCATENATE("Ideological placement: ", B128)</f>
        <v>Ideological placement: Yourself</v>
      </c>
      <c r="E128" s="1" t="s">
        <v>135</v>
      </c>
      <c r="F128" s="1" t="s">
        <v>198</v>
      </c>
      <c r="G128" s="1">
        <v>1</v>
      </c>
      <c r="H128" s="1" t="s">
        <v>450</v>
      </c>
      <c r="I128" s="1"/>
      <c r="J128" s="1" t="s">
        <v>451</v>
      </c>
      <c r="K128" s="1"/>
      <c r="L128" s="1" t="s">
        <v>454</v>
      </c>
    </row>
    <row r="129" spans="1:12" ht="28" x14ac:dyDescent="0.15">
      <c r="A129" s="1" t="s">
        <v>447</v>
      </c>
      <c r="B129" s="2" t="s">
        <v>452</v>
      </c>
      <c r="C129" t="s">
        <v>453</v>
      </c>
      <c r="D129" s="1" t="str">
        <f t="shared" si="12"/>
        <v>Ideological placement: The Average American</v>
      </c>
      <c r="E129" s="1" t="s">
        <v>135</v>
      </c>
      <c r="F129" s="1" t="s">
        <v>265</v>
      </c>
      <c r="G129" s="1">
        <v>1</v>
      </c>
      <c r="H129" s="1" t="s">
        <v>15</v>
      </c>
      <c r="I129" s="1"/>
      <c r="J129" s="1" t="s">
        <v>454</v>
      </c>
      <c r="K129" s="1"/>
      <c r="L129" s="1" t="s">
        <v>454</v>
      </c>
    </row>
    <row r="130" spans="1:12" ht="140" x14ac:dyDescent="0.15">
      <c r="A130" s="1" t="s">
        <v>460</v>
      </c>
      <c r="B130" s="2" t="s">
        <v>31</v>
      </c>
      <c r="C130" t="s">
        <v>467</v>
      </c>
      <c r="D130" s="1" t="str">
        <f t="shared" ref="D130:D135" si="13">CONCATENATE("Ideological distance from self: ", B130)</f>
        <v>Ideological distance from self: MSNBC</v>
      </c>
      <c r="E130" s="1" t="s">
        <v>42</v>
      </c>
      <c r="F130" s="1" t="s">
        <v>14</v>
      </c>
      <c r="G130" s="1">
        <v>1</v>
      </c>
      <c r="H130" s="1" t="s">
        <v>20</v>
      </c>
      <c r="I130" s="1"/>
      <c r="J130" s="1" t="s">
        <v>457</v>
      </c>
      <c r="K130" s="1"/>
      <c r="L130" s="1" t="s">
        <v>454</v>
      </c>
    </row>
    <row r="131" spans="1:12" ht="140" x14ac:dyDescent="0.15">
      <c r="A131" s="1" t="s">
        <v>460</v>
      </c>
      <c r="B131" s="2" t="s">
        <v>188</v>
      </c>
      <c r="C131" t="s">
        <v>462</v>
      </c>
      <c r="D131" s="1" t="str">
        <f t="shared" si="13"/>
        <v>Ideological distance from self: Former Vice President Joe Biden</v>
      </c>
      <c r="E131" s="1" t="s">
        <v>135</v>
      </c>
      <c r="F131" s="1" t="s">
        <v>190</v>
      </c>
      <c r="G131" s="1">
        <v>1</v>
      </c>
      <c r="H131" s="1" t="s">
        <v>15</v>
      </c>
      <c r="I131" s="1"/>
      <c r="J131" s="1" t="s">
        <v>457</v>
      </c>
      <c r="K131" s="1"/>
      <c r="L131" s="1" t="s">
        <v>454</v>
      </c>
    </row>
    <row r="132" spans="1:12" ht="140" x14ac:dyDescent="0.15">
      <c r="A132" s="1" t="s">
        <v>460</v>
      </c>
      <c r="B132" s="2" t="s">
        <v>17</v>
      </c>
      <c r="C132" t="s">
        <v>465</v>
      </c>
      <c r="D132" s="1" t="str">
        <f t="shared" si="13"/>
        <v>Ideological distance from self: CNN</v>
      </c>
      <c r="E132" s="1" t="s">
        <v>85</v>
      </c>
      <c r="F132" s="1" t="s">
        <v>94</v>
      </c>
      <c r="G132" s="1">
        <v>1</v>
      </c>
      <c r="H132" s="1" t="s">
        <v>15</v>
      </c>
      <c r="I132" s="1"/>
      <c r="J132" s="1" t="s">
        <v>457</v>
      </c>
      <c r="K132" s="1"/>
      <c r="L132" s="1" t="s">
        <v>454</v>
      </c>
    </row>
    <row r="133" spans="1:12" ht="140" x14ac:dyDescent="0.15">
      <c r="A133" s="1" t="s">
        <v>460</v>
      </c>
      <c r="B133" s="2" t="s">
        <v>10</v>
      </c>
      <c r="C133" t="s">
        <v>466</v>
      </c>
      <c r="D133" s="1" t="str">
        <f t="shared" si="13"/>
        <v>Ideological distance from self: Fox News</v>
      </c>
      <c r="E133" s="1" t="s">
        <v>85</v>
      </c>
      <c r="F133" s="1" t="s">
        <v>89</v>
      </c>
      <c r="G133" s="1">
        <v>1</v>
      </c>
      <c r="H133" s="1" t="s">
        <v>20</v>
      </c>
      <c r="I133" s="1"/>
      <c r="J133" s="1" t="s">
        <v>457</v>
      </c>
      <c r="K133" s="1"/>
      <c r="L133" s="1" t="s">
        <v>454</v>
      </c>
    </row>
    <row r="134" spans="1:12" ht="140" x14ac:dyDescent="0.15">
      <c r="A134" s="1" t="s">
        <v>460</v>
      </c>
      <c r="B134" s="2" t="s">
        <v>463</v>
      </c>
      <c r="C134" t="s">
        <v>464</v>
      </c>
      <c r="D134" s="1" t="str">
        <f t="shared" si="13"/>
        <v>Ideological distance from self: The Media in General</v>
      </c>
      <c r="E134" s="1" t="s">
        <v>85</v>
      </c>
      <c r="F134" s="1" t="s">
        <v>86</v>
      </c>
      <c r="G134" s="1">
        <v>1</v>
      </c>
      <c r="H134" s="1" t="s">
        <v>15</v>
      </c>
      <c r="I134" s="1"/>
      <c r="J134" s="1" t="s">
        <v>457</v>
      </c>
      <c r="K134" s="1"/>
      <c r="L134" s="1" t="s">
        <v>454</v>
      </c>
    </row>
    <row r="135" spans="1:12" ht="140" x14ac:dyDescent="0.15">
      <c r="A135" s="1" t="s">
        <v>460</v>
      </c>
      <c r="B135" s="2" t="s">
        <v>186</v>
      </c>
      <c r="C135" t="s">
        <v>461</v>
      </c>
      <c r="D135" s="1" t="str">
        <f t="shared" si="13"/>
        <v>Ideological distance from self: President Donald Trump</v>
      </c>
      <c r="E135" s="1" t="s">
        <v>135</v>
      </c>
      <c r="F135" s="1" t="s">
        <v>136</v>
      </c>
      <c r="G135" s="1">
        <v>1</v>
      </c>
      <c r="H135" s="1" t="s">
        <v>20</v>
      </c>
      <c r="I135" s="1"/>
      <c r="J135" s="1" t="s">
        <v>457</v>
      </c>
      <c r="K135" s="1"/>
      <c r="L135" s="1" t="s">
        <v>454</v>
      </c>
    </row>
    <row r="136" spans="1:12" ht="42" x14ac:dyDescent="0.15">
      <c r="A136" s="1" t="s">
        <v>468</v>
      </c>
      <c r="B136" s="1" t="s">
        <v>469</v>
      </c>
      <c r="C136" s="1" t="s">
        <v>509</v>
      </c>
      <c r="D136" s="1" t="s">
        <v>510</v>
      </c>
      <c r="E136" s="1" t="s">
        <v>24</v>
      </c>
      <c r="F136" s="1" t="s">
        <v>14</v>
      </c>
      <c r="G136" s="1">
        <v>1</v>
      </c>
      <c r="H136" s="1" t="s">
        <v>15</v>
      </c>
      <c r="I136" s="1" t="s">
        <v>511</v>
      </c>
      <c r="J136" s="1" t="s">
        <v>472</v>
      </c>
      <c r="K136" s="1"/>
      <c r="L136" s="1" t="s">
        <v>1436</v>
      </c>
    </row>
    <row r="137" spans="1:12" ht="42" x14ac:dyDescent="0.15">
      <c r="A137" s="1" t="s">
        <v>468</v>
      </c>
      <c r="B137" s="1" t="s">
        <v>473</v>
      </c>
      <c r="C137" s="1" t="s">
        <v>512</v>
      </c>
      <c r="D137" s="1" t="s">
        <v>513</v>
      </c>
      <c r="E137" s="1" t="s">
        <v>13</v>
      </c>
      <c r="F137" s="1" t="s">
        <v>514</v>
      </c>
      <c r="G137" s="1">
        <v>1</v>
      </c>
      <c r="H137" s="1" t="s">
        <v>15</v>
      </c>
      <c r="I137" s="1" t="s">
        <v>511</v>
      </c>
      <c r="J137" s="1" t="s">
        <v>472</v>
      </c>
      <c r="K137" s="1">
        <v>1</v>
      </c>
      <c r="L137" s="1" t="s">
        <v>1436</v>
      </c>
    </row>
    <row r="138" spans="1:12" ht="56" x14ac:dyDescent="0.15">
      <c r="A138" s="1" t="s">
        <v>476</v>
      </c>
      <c r="B138" s="1" t="s">
        <v>515</v>
      </c>
      <c r="C138" s="1" t="s">
        <v>478</v>
      </c>
      <c r="D138" s="1" t="str">
        <f>B138</f>
        <v>2020 Presidential Election Vote Choice</v>
      </c>
      <c r="E138" s="1" t="s">
        <v>135</v>
      </c>
      <c r="F138" s="1" t="s">
        <v>198</v>
      </c>
      <c r="G138" s="1">
        <v>1</v>
      </c>
      <c r="H138" s="1" t="s">
        <v>366</v>
      </c>
      <c r="I138" s="1"/>
      <c r="J138" s="1" t="s">
        <v>479</v>
      </c>
      <c r="K138" s="1"/>
      <c r="L138" s="1" t="s">
        <v>479</v>
      </c>
    </row>
    <row r="139" spans="1:12" ht="28" x14ac:dyDescent="0.15">
      <c r="A139" s="1" t="s">
        <v>9</v>
      </c>
      <c r="B139" s="1" t="s">
        <v>10</v>
      </c>
      <c r="C139" s="1" t="s">
        <v>11</v>
      </c>
      <c r="D139" s="1" t="s">
        <v>12</v>
      </c>
      <c r="E139" s="1" t="s">
        <v>13</v>
      </c>
      <c r="F139" s="1" t="s">
        <v>14</v>
      </c>
      <c r="G139" s="1">
        <v>1</v>
      </c>
      <c r="H139" s="1" t="s">
        <v>15</v>
      </c>
      <c r="I139" s="1"/>
      <c r="J139" s="1" t="s">
        <v>16</v>
      </c>
      <c r="K139" s="1">
        <v>1</v>
      </c>
      <c r="L139" s="1" t="s">
        <v>1426</v>
      </c>
    </row>
    <row r="140" spans="1:12" ht="28" x14ac:dyDescent="0.15">
      <c r="A140" s="1" t="s">
        <v>9</v>
      </c>
      <c r="B140" s="1" t="s">
        <v>17</v>
      </c>
      <c r="C140" s="1" t="s">
        <v>18</v>
      </c>
      <c r="D140" s="1" t="s">
        <v>19</v>
      </c>
      <c r="E140" s="1" t="s">
        <v>13</v>
      </c>
      <c r="F140" s="1" t="s">
        <v>14</v>
      </c>
      <c r="G140" s="1">
        <v>1</v>
      </c>
      <c r="H140" s="1" t="s">
        <v>20</v>
      </c>
      <c r="I140" s="1"/>
      <c r="J140" s="1" t="s">
        <v>16</v>
      </c>
      <c r="K140" s="1">
        <v>1</v>
      </c>
      <c r="L140" s="1" t="s">
        <v>1426</v>
      </c>
    </row>
    <row r="141" spans="1:12" ht="56" x14ac:dyDescent="0.15">
      <c r="A141" s="1" t="s">
        <v>21</v>
      </c>
      <c r="B141" s="1" t="s">
        <v>10</v>
      </c>
      <c r="C141" s="1" t="s">
        <v>22</v>
      </c>
      <c r="D141" s="1" t="s">
        <v>23</v>
      </c>
      <c r="E141" s="1" t="s">
        <v>13</v>
      </c>
      <c r="F141" s="1" t="s">
        <v>514</v>
      </c>
      <c r="G141" s="1">
        <v>1</v>
      </c>
      <c r="H141" s="1" t="s">
        <v>15</v>
      </c>
      <c r="I141" s="1" t="s">
        <v>516</v>
      </c>
      <c r="J141" s="1" t="s">
        <v>26</v>
      </c>
      <c r="K141" s="1">
        <v>1</v>
      </c>
      <c r="L141" s="1" t="s">
        <v>1427</v>
      </c>
    </row>
    <row r="142" spans="1:12" ht="56" x14ac:dyDescent="0.15">
      <c r="A142" s="1" t="s">
        <v>27</v>
      </c>
      <c r="B142" s="1" t="s">
        <v>17</v>
      </c>
      <c r="C142" s="1" t="s">
        <v>28</v>
      </c>
      <c r="D142" s="1" t="s">
        <v>517</v>
      </c>
      <c r="E142" s="1" t="s">
        <v>13</v>
      </c>
      <c r="F142" s="1" t="s">
        <v>14</v>
      </c>
      <c r="G142" s="1">
        <v>1</v>
      </c>
      <c r="H142" s="1" t="s">
        <v>20</v>
      </c>
      <c r="I142" s="1" t="s">
        <v>516</v>
      </c>
      <c r="J142" s="1" t="s">
        <v>26</v>
      </c>
      <c r="K142" s="1">
        <v>1</v>
      </c>
      <c r="L142" s="1" t="s">
        <v>1427</v>
      </c>
    </row>
    <row r="143" spans="1:12" ht="56" x14ac:dyDescent="0.15">
      <c r="A143" s="1" t="s">
        <v>30</v>
      </c>
      <c r="B143" s="1" t="s">
        <v>31</v>
      </c>
      <c r="C143" s="1" t="s">
        <v>32</v>
      </c>
      <c r="D143" s="1" t="s">
        <v>518</v>
      </c>
      <c r="E143" s="1" t="s">
        <v>14</v>
      </c>
      <c r="F143" s="1" t="s">
        <v>14</v>
      </c>
      <c r="G143" s="1">
        <v>1</v>
      </c>
      <c r="H143" s="1" t="s">
        <v>14</v>
      </c>
      <c r="I143" s="1" t="s">
        <v>516</v>
      </c>
      <c r="J143" s="1" t="s">
        <v>26</v>
      </c>
      <c r="K143" s="1"/>
      <c r="L143" s="1" t="s">
        <v>1427</v>
      </c>
    </row>
    <row r="144" spans="1:12" ht="28" x14ac:dyDescent="0.15">
      <c r="A144" s="1" t="s">
        <v>9</v>
      </c>
      <c r="B144" s="1" t="s">
        <v>17</v>
      </c>
      <c r="C144" s="1" t="s">
        <v>519</v>
      </c>
      <c r="D144" s="1" t="s">
        <v>520</v>
      </c>
      <c r="E144" s="1" t="s">
        <v>14</v>
      </c>
      <c r="F144" s="1" t="s">
        <v>14</v>
      </c>
      <c r="G144" s="1" t="s">
        <v>521</v>
      </c>
      <c r="H144" s="1" t="s">
        <v>14</v>
      </c>
      <c r="I144" s="1"/>
      <c r="J144" s="1" t="s">
        <v>522</v>
      </c>
      <c r="K144" s="1"/>
      <c r="L144" s="1" t="s">
        <v>1426</v>
      </c>
    </row>
    <row r="145" spans="1:12" ht="30" x14ac:dyDescent="0.15">
      <c r="A145" s="1" t="s">
        <v>523</v>
      </c>
      <c r="B145" s="8" t="s">
        <v>524</v>
      </c>
      <c r="C145" s="1" t="s">
        <v>525</v>
      </c>
      <c r="D145" s="1" t="s">
        <v>526</v>
      </c>
      <c r="E145" s="1" t="s">
        <v>38</v>
      </c>
      <c r="F145" s="1" t="s">
        <v>527</v>
      </c>
      <c r="G145" s="1"/>
      <c r="H145" s="1" t="s">
        <v>15</v>
      </c>
      <c r="I145" s="1"/>
      <c r="J145" s="1"/>
      <c r="K145" s="1"/>
      <c r="L145" s="1" t="s">
        <v>1431</v>
      </c>
    </row>
    <row r="146" spans="1:12" ht="30" x14ac:dyDescent="0.15">
      <c r="A146" s="1" t="s">
        <v>523</v>
      </c>
      <c r="B146" s="8" t="s">
        <v>528</v>
      </c>
      <c r="C146" s="1" t="s">
        <v>529</v>
      </c>
      <c r="D146" s="1" t="s">
        <v>530</v>
      </c>
      <c r="E146" s="1" t="s">
        <v>38</v>
      </c>
      <c r="F146" s="1" t="s">
        <v>527</v>
      </c>
      <c r="G146" s="1"/>
      <c r="H146" s="1" t="s">
        <v>15</v>
      </c>
      <c r="I146" s="1"/>
      <c r="J146" s="1"/>
      <c r="K146" s="1"/>
      <c r="L146" s="1" t="s">
        <v>1431</v>
      </c>
    </row>
    <row r="147" spans="1:12" ht="30" x14ac:dyDescent="0.15">
      <c r="A147" s="1" t="s">
        <v>523</v>
      </c>
      <c r="B147" s="8" t="s">
        <v>531</v>
      </c>
      <c r="C147" s="1" t="s">
        <v>532</v>
      </c>
      <c r="D147" s="9" t="s">
        <v>533</v>
      </c>
      <c r="E147" s="1" t="s">
        <v>38</v>
      </c>
      <c r="F147" s="1" t="s">
        <v>527</v>
      </c>
      <c r="G147" s="1"/>
      <c r="H147" s="1" t="s">
        <v>15</v>
      </c>
      <c r="I147" s="1"/>
      <c r="J147" s="1"/>
      <c r="K147" s="1"/>
      <c r="L147" s="1" t="s">
        <v>1431</v>
      </c>
    </row>
    <row r="148" spans="1:12" ht="45" x14ac:dyDescent="0.15">
      <c r="A148" s="1" t="s">
        <v>523</v>
      </c>
      <c r="B148" s="8" t="s">
        <v>534</v>
      </c>
      <c r="C148" s="1" t="s">
        <v>535</v>
      </c>
      <c r="D148" s="9" t="s">
        <v>536</v>
      </c>
      <c r="E148" s="1" t="s">
        <v>38</v>
      </c>
      <c r="F148" s="1" t="s">
        <v>527</v>
      </c>
      <c r="G148" s="1"/>
      <c r="H148" s="1" t="s">
        <v>15</v>
      </c>
      <c r="I148" s="1"/>
      <c r="J148" s="1"/>
      <c r="K148" s="1"/>
      <c r="L148" s="1" t="s">
        <v>1431</v>
      </c>
    </row>
    <row r="149" spans="1:12" ht="30" x14ac:dyDescent="0.15">
      <c r="A149" s="1" t="s">
        <v>523</v>
      </c>
      <c r="B149" s="8" t="s">
        <v>537</v>
      </c>
      <c r="C149" s="1" t="s">
        <v>538</v>
      </c>
      <c r="D149" s="1" t="s">
        <v>539</v>
      </c>
      <c r="E149" s="1" t="s">
        <v>38</v>
      </c>
      <c r="F149" s="1" t="s">
        <v>527</v>
      </c>
      <c r="G149" s="1"/>
      <c r="H149" s="1" t="s">
        <v>15</v>
      </c>
      <c r="I149" s="1"/>
      <c r="J149" s="1"/>
      <c r="K149" s="1"/>
      <c r="L149" s="1" t="s">
        <v>1431</v>
      </c>
    </row>
    <row r="150" spans="1:12" ht="30" x14ac:dyDescent="0.15">
      <c r="A150" s="1" t="s">
        <v>523</v>
      </c>
      <c r="B150" s="8" t="s">
        <v>540</v>
      </c>
      <c r="C150" s="1" t="s">
        <v>541</v>
      </c>
      <c r="D150" s="1" t="s">
        <v>542</v>
      </c>
      <c r="E150" s="1" t="s">
        <v>38</v>
      </c>
      <c r="F150" s="1" t="s">
        <v>527</v>
      </c>
      <c r="G150" s="1"/>
      <c r="H150" s="1" t="s">
        <v>15</v>
      </c>
      <c r="I150" s="1"/>
      <c r="J150" s="1"/>
      <c r="K150" s="1"/>
      <c r="L150" s="1" t="s">
        <v>1431</v>
      </c>
    </row>
    <row r="151" spans="1:12" ht="45" x14ac:dyDescent="0.15">
      <c r="A151" s="1" t="s">
        <v>480</v>
      </c>
      <c r="B151" s="8" t="s">
        <v>543</v>
      </c>
      <c r="C151" s="1" t="s">
        <v>544</v>
      </c>
      <c r="D151" s="1" t="s">
        <v>545</v>
      </c>
      <c r="E151" s="1" t="s">
        <v>14</v>
      </c>
      <c r="F151" s="1" t="s">
        <v>14</v>
      </c>
      <c r="G151" s="1"/>
      <c r="H151" s="1"/>
      <c r="I151" s="1"/>
      <c r="J151" s="1" t="s">
        <v>546</v>
      </c>
      <c r="K151" s="1"/>
      <c r="L151" s="1" t="s">
        <v>1437</v>
      </c>
    </row>
    <row r="152" spans="1:12" ht="30" x14ac:dyDescent="0.15">
      <c r="A152" s="1" t="s">
        <v>480</v>
      </c>
      <c r="B152" s="8" t="s">
        <v>547</v>
      </c>
      <c r="C152" s="1" t="s">
        <v>548</v>
      </c>
      <c r="D152" s="1" t="s">
        <v>549</v>
      </c>
      <c r="E152" s="1" t="s">
        <v>14</v>
      </c>
      <c r="F152" s="1" t="s">
        <v>14</v>
      </c>
      <c r="G152" s="1"/>
      <c r="H152" s="1"/>
      <c r="I152" s="1"/>
      <c r="J152" s="1" t="s">
        <v>546</v>
      </c>
      <c r="K152" s="1"/>
      <c r="L152" s="1" t="s">
        <v>1437</v>
      </c>
    </row>
    <row r="153" spans="1:12" ht="45" x14ac:dyDescent="0.15">
      <c r="A153" s="1" t="s">
        <v>480</v>
      </c>
      <c r="B153" s="8" t="s">
        <v>550</v>
      </c>
      <c r="C153" s="1" t="s">
        <v>551</v>
      </c>
      <c r="D153" s="1" t="s">
        <v>552</v>
      </c>
      <c r="E153" s="1" t="s">
        <v>85</v>
      </c>
      <c r="F153" s="1" t="s">
        <v>553</v>
      </c>
      <c r="G153" s="1"/>
      <c r="H153" s="1" t="s">
        <v>15</v>
      </c>
      <c r="I153" s="1"/>
      <c r="J153" s="1"/>
      <c r="K153" s="1"/>
      <c r="L153" s="1" t="s">
        <v>1437</v>
      </c>
    </row>
    <row r="154" spans="1:12" ht="45" x14ac:dyDescent="0.15">
      <c r="A154" s="1" t="s">
        <v>480</v>
      </c>
      <c r="B154" s="8" t="s">
        <v>554</v>
      </c>
      <c r="C154" s="1" t="s">
        <v>555</v>
      </c>
      <c r="D154" s="1" t="s">
        <v>556</v>
      </c>
      <c r="E154" s="1" t="s">
        <v>85</v>
      </c>
      <c r="F154" s="1" t="s">
        <v>553</v>
      </c>
      <c r="G154" s="1"/>
      <c r="H154" s="1" t="s">
        <v>15</v>
      </c>
      <c r="I154" s="1"/>
      <c r="J154" s="1"/>
      <c r="K154" s="1"/>
      <c r="L154" s="1" t="s">
        <v>1437</v>
      </c>
    </row>
    <row r="155" spans="1:12" ht="30" x14ac:dyDescent="0.15">
      <c r="A155" s="1" t="s">
        <v>480</v>
      </c>
      <c r="B155" s="8" t="s">
        <v>557</v>
      </c>
      <c r="C155" s="1" t="s">
        <v>558</v>
      </c>
      <c r="D155" s="9" t="s">
        <v>559</v>
      </c>
      <c r="E155" s="1" t="s">
        <v>85</v>
      </c>
      <c r="F155" s="1" t="s">
        <v>553</v>
      </c>
      <c r="G155" s="1"/>
      <c r="H155" s="1" t="s">
        <v>15</v>
      </c>
      <c r="I155" s="1"/>
      <c r="J155" s="1"/>
      <c r="K155" s="1"/>
      <c r="L155" s="1" t="s">
        <v>1437</v>
      </c>
    </row>
    <row r="156" spans="1:12" ht="56" x14ac:dyDescent="0.15">
      <c r="A156" s="1" t="s">
        <v>480</v>
      </c>
      <c r="B156" s="8" t="s">
        <v>560</v>
      </c>
      <c r="C156" s="1" t="s">
        <v>561</v>
      </c>
      <c r="D156" s="1" t="s">
        <v>562</v>
      </c>
      <c r="E156" s="1" t="s">
        <v>85</v>
      </c>
      <c r="F156" s="1" t="s">
        <v>553</v>
      </c>
      <c r="G156" s="1"/>
      <c r="H156" s="1" t="s">
        <v>15</v>
      </c>
      <c r="I156" s="1"/>
      <c r="J156" s="1"/>
      <c r="K156" s="1"/>
      <c r="L156" s="1" t="s">
        <v>1437</v>
      </c>
    </row>
    <row r="157" spans="1:12" ht="75" x14ac:dyDescent="0.15">
      <c r="A157" s="1" t="s">
        <v>480</v>
      </c>
      <c r="B157" s="8" t="s">
        <v>563</v>
      </c>
      <c r="C157" s="1" t="s">
        <v>564</v>
      </c>
      <c r="D157" s="1" t="s">
        <v>565</v>
      </c>
      <c r="E157" s="1" t="s">
        <v>85</v>
      </c>
      <c r="F157" s="1" t="s">
        <v>553</v>
      </c>
      <c r="G157" s="1"/>
      <c r="H157" s="1" t="s">
        <v>15</v>
      </c>
      <c r="I157" s="1"/>
      <c r="J157" s="1"/>
      <c r="K157" s="1"/>
      <c r="L157" s="1" t="s">
        <v>1437</v>
      </c>
    </row>
    <row r="158" spans="1:12" ht="30" x14ac:dyDescent="0.15">
      <c r="A158" s="1" t="s">
        <v>566</v>
      </c>
      <c r="B158" s="8" t="s">
        <v>567</v>
      </c>
      <c r="C158" s="1" t="s">
        <v>568</v>
      </c>
      <c r="D158" s="1" t="s">
        <v>569</v>
      </c>
      <c r="E158" s="1" t="s">
        <v>14</v>
      </c>
      <c r="F158" s="1" t="s">
        <v>14</v>
      </c>
      <c r="G158" s="1"/>
      <c r="H158" s="1"/>
      <c r="I158" s="1"/>
      <c r="J158" s="1"/>
      <c r="K158" s="1"/>
      <c r="L158" s="1" t="s">
        <v>1367</v>
      </c>
    </row>
    <row r="159" spans="1:12" ht="15" x14ac:dyDescent="0.15">
      <c r="A159" s="1" t="s">
        <v>566</v>
      </c>
      <c r="B159" s="8" t="s">
        <v>570</v>
      </c>
      <c r="C159" s="1" t="s">
        <v>571</v>
      </c>
      <c r="D159" s="1" t="s">
        <v>572</v>
      </c>
      <c r="E159" s="1" t="s">
        <v>14</v>
      </c>
      <c r="F159" s="1" t="s">
        <v>14</v>
      </c>
      <c r="G159" s="1"/>
      <c r="H159" s="1"/>
      <c r="I159" s="1"/>
      <c r="J159" s="1"/>
      <c r="K159" s="1"/>
      <c r="L159" s="1" t="s">
        <v>1367</v>
      </c>
    </row>
    <row r="160" spans="1:12" ht="30" x14ac:dyDescent="0.15">
      <c r="A160" s="1" t="s">
        <v>566</v>
      </c>
      <c r="B160" s="8" t="s">
        <v>573</v>
      </c>
      <c r="C160" s="1" t="s">
        <v>574</v>
      </c>
      <c r="D160" s="1" t="s">
        <v>575</v>
      </c>
      <c r="E160" s="1" t="s">
        <v>14</v>
      </c>
      <c r="F160" s="1" t="s">
        <v>14</v>
      </c>
      <c r="G160" s="1"/>
      <c r="H160" s="1"/>
      <c r="I160" s="1"/>
      <c r="J160" s="1"/>
      <c r="K160" s="1"/>
      <c r="L160" s="1" t="s">
        <v>1367</v>
      </c>
    </row>
    <row r="161" spans="1:12" ht="45" x14ac:dyDescent="0.15">
      <c r="A161" s="1" t="s">
        <v>566</v>
      </c>
      <c r="B161" s="8" t="s">
        <v>576</v>
      </c>
      <c r="C161" s="1" t="s">
        <v>577</v>
      </c>
      <c r="D161" s="1" t="s">
        <v>578</v>
      </c>
      <c r="E161" s="1" t="s">
        <v>14</v>
      </c>
      <c r="F161" s="1" t="s">
        <v>14</v>
      </c>
      <c r="G161" s="1"/>
      <c r="H161" s="1"/>
      <c r="I161" s="1"/>
      <c r="J161" s="1"/>
      <c r="K161" s="1"/>
      <c r="L161" s="1" t="s">
        <v>1367</v>
      </c>
    </row>
    <row r="162" spans="1:12" ht="15" x14ac:dyDescent="0.15">
      <c r="A162" s="1" t="s">
        <v>566</v>
      </c>
      <c r="B162" s="8" t="s">
        <v>579</v>
      </c>
      <c r="C162" s="1" t="s">
        <v>580</v>
      </c>
      <c r="D162" s="1" t="s">
        <v>581</v>
      </c>
      <c r="E162" s="1" t="s">
        <v>14</v>
      </c>
      <c r="F162" s="1" t="s">
        <v>14</v>
      </c>
      <c r="G162" s="1"/>
      <c r="H162" s="1"/>
      <c r="I162" s="1"/>
      <c r="J162" s="1"/>
      <c r="K162" s="1"/>
      <c r="L162" s="1" t="s">
        <v>1367</v>
      </c>
    </row>
    <row r="163" spans="1:12" ht="45" x14ac:dyDescent="0.15">
      <c r="A163" s="1" t="s">
        <v>566</v>
      </c>
      <c r="B163" s="8" t="s">
        <v>582</v>
      </c>
      <c r="C163" s="1" t="s">
        <v>583</v>
      </c>
      <c r="D163" s="1" t="s">
        <v>584</v>
      </c>
      <c r="E163" s="1" t="s">
        <v>14</v>
      </c>
      <c r="F163" s="1" t="s">
        <v>14</v>
      </c>
      <c r="G163" s="1"/>
      <c r="H163" s="1"/>
      <c r="I163" s="1"/>
      <c r="J163" s="1"/>
      <c r="K163" s="1"/>
      <c r="L163" s="1" t="s">
        <v>1367</v>
      </c>
    </row>
    <row r="164" spans="1:12" ht="45" x14ac:dyDescent="0.15">
      <c r="A164" s="1" t="s">
        <v>566</v>
      </c>
      <c r="B164" s="8" t="s">
        <v>585</v>
      </c>
      <c r="C164" s="1" t="s">
        <v>586</v>
      </c>
      <c r="D164" s="1" t="s">
        <v>587</v>
      </c>
      <c r="E164" s="1" t="s">
        <v>14</v>
      </c>
      <c r="F164" s="1" t="s">
        <v>14</v>
      </c>
      <c r="G164" s="1"/>
      <c r="H164" s="1"/>
      <c r="I164" s="1"/>
      <c r="J164" s="1"/>
      <c r="K164" s="1"/>
      <c r="L164" s="1" t="s">
        <v>1367</v>
      </c>
    </row>
    <row r="165" spans="1:12" ht="45" x14ac:dyDescent="0.15">
      <c r="A165" s="1" t="s">
        <v>566</v>
      </c>
      <c r="B165" s="8" t="s">
        <v>588</v>
      </c>
      <c r="C165" s="1" t="s">
        <v>589</v>
      </c>
      <c r="D165" s="1" t="s">
        <v>590</v>
      </c>
      <c r="E165" s="1" t="s">
        <v>14</v>
      </c>
      <c r="F165" s="1" t="s">
        <v>14</v>
      </c>
      <c r="G165" s="1"/>
      <c r="H165" s="1"/>
      <c r="I165" s="1"/>
      <c r="J165" s="1"/>
      <c r="K165" s="1"/>
      <c r="L165" s="1" t="s">
        <v>1367</v>
      </c>
    </row>
    <row r="166" spans="1:12" ht="28" x14ac:dyDescent="0.15">
      <c r="A166" s="1" t="s">
        <v>566</v>
      </c>
      <c r="B166" s="8" t="s">
        <v>591</v>
      </c>
      <c r="C166" s="1" t="s">
        <v>592</v>
      </c>
      <c r="D166" s="1" t="s">
        <v>593</v>
      </c>
      <c r="E166" s="1" t="s">
        <v>14</v>
      </c>
      <c r="F166" s="1" t="s">
        <v>14</v>
      </c>
      <c r="G166" s="1"/>
      <c r="H166" s="1"/>
      <c r="I166" s="1"/>
      <c r="J166" s="1"/>
      <c r="K166" s="1"/>
      <c r="L166" s="1" t="s">
        <v>1367</v>
      </c>
    </row>
    <row r="167" spans="1:12" ht="45" x14ac:dyDescent="0.15">
      <c r="A167" s="1" t="s">
        <v>566</v>
      </c>
      <c r="B167" s="8" t="s">
        <v>594</v>
      </c>
      <c r="C167" s="1" t="s">
        <v>595</v>
      </c>
      <c r="D167" s="1" t="s">
        <v>596</v>
      </c>
      <c r="E167" s="1" t="s">
        <v>14</v>
      </c>
      <c r="F167" s="1" t="s">
        <v>14</v>
      </c>
      <c r="G167" s="1"/>
      <c r="H167" s="1"/>
      <c r="I167" s="1"/>
      <c r="J167" s="1"/>
      <c r="K167" s="1"/>
      <c r="L167" s="1" t="s">
        <v>1367</v>
      </c>
    </row>
    <row r="168" spans="1:12" ht="15" x14ac:dyDescent="0.15">
      <c r="A168" s="1" t="s">
        <v>597</v>
      </c>
      <c r="B168" s="8" t="s">
        <v>598</v>
      </c>
      <c r="C168" s="1" t="s">
        <v>599</v>
      </c>
      <c r="D168" s="1" t="s">
        <v>598</v>
      </c>
      <c r="E168" s="1" t="s">
        <v>14</v>
      </c>
      <c r="F168" s="1" t="s">
        <v>14</v>
      </c>
      <c r="G168" s="1"/>
      <c r="H168" s="1"/>
      <c r="I168" s="1"/>
      <c r="J168" s="1"/>
      <c r="K168" s="1"/>
      <c r="L168" s="1" t="s">
        <v>1431</v>
      </c>
    </row>
    <row r="169" spans="1:12" ht="42" x14ac:dyDescent="0.15">
      <c r="A169" s="1" t="s">
        <v>597</v>
      </c>
      <c r="B169" s="8" t="s">
        <v>600</v>
      </c>
      <c r="C169" s="1" t="s">
        <v>601</v>
      </c>
      <c r="D169" s="1" t="s">
        <v>602</v>
      </c>
      <c r="E169" s="1" t="s">
        <v>603</v>
      </c>
      <c r="F169" s="1" t="s">
        <v>603</v>
      </c>
      <c r="G169" s="1"/>
      <c r="H169" s="1" t="s">
        <v>15</v>
      </c>
      <c r="I169" s="1"/>
      <c r="J169" s="1"/>
      <c r="K169" s="1"/>
      <c r="L169" s="1" t="s">
        <v>1431</v>
      </c>
    </row>
    <row r="170" spans="1:12" ht="42" x14ac:dyDescent="0.15">
      <c r="A170" s="1" t="s">
        <v>597</v>
      </c>
      <c r="B170" s="8" t="s">
        <v>604</v>
      </c>
      <c r="C170" s="1" t="s">
        <v>605</v>
      </c>
      <c r="D170" s="1" t="s">
        <v>606</v>
      </c>
      <c r="E170" s="1" t="s">
        <v>603</v>
      </c>
      <c r="F170" s="1" t="s">
        <v>603</v>
      </c>
      <c r="G170" s="1"/>
      <c r="H170" s="1" t="s">
        <v>20</v>
      </c>
      <c r="I170" s="1"/>
      <c r="J170" s="1"/>
      <c r="K170" s="1"/>
      <c r="L170" s="1" t="s">
        <v>1431</v>
      </c>
    </row>
    <row r="171" spans="1:12" ht="42" x14ac:dyDescent="0.15">
      <c r="A171" s="1" t="s">
        <v>597</v>
      </c>
      <c r="B171" s="8" t="s">
        <v>607</v>
      </c>
      <c r="C171" s="1" t="s">
        <v>608</v>
      </c>
      <c r="D171" s="1" t="s">
        <v>607</v>
      </c>
      <c r="E171" s="1" t="s">
        <v>603</v>
      </c>
      <c r="F171" s="1" t="s">
        <v>603</v>
      </c>
      <c r="G171" s="1"/>
      <c r="H171" s="1" t="s">
        <v>15</v>
      </c>
      <c r="I171" s="1"/>
      <c r="J171" s="1"/>
      <c r="K171" s="1"/>
      <c r="L171" s="1" t="s">
        <v>1431</v>
      </c>
    </row>
    <row r="172" spans="1:12" ht="56" x14ac:dyDescent="0.15">
      <c r="A172" s="1" t="s">
        <v>597</v>
      </c>
      <c r="B172" s="8" t="s">
        <v>609</v>
      </c>
      <c r="C172" s="1" t="s">
        <v>610</v>
      </c>
      <c r="D172" s="1" t="s">
        <v>609</v>
      </c>
      <c r="E172" s="1" t="s">
        <v>603</v>
      </c>
      <c r="F172" s="1" t="s">
        <v>603</v>
      </c>
      <c r="G172" s="1"/>
      <c r="H172" s="1" t="s">
        <v>15</v>
      </c>
      <c r="I172" s="1"/>
      <c r="J172" s="1"/>
      <c r="K172" s="1"/>
      <c r="L172" s="1" t="s">
        <v>1431</v>
      </c>
    </row>
    <row r="173" spans="1:12" ht="56" x14ac:dyDescent="0.15">
      <c r="A173" s="1" t="s">
        <v>597</v>
      </c>
      <c r="B173" s="8" t="s">
        <v>611</v>
      </c>
      <c r="C173" s="1" t="s">
        <v>612</v>
      </c>
      <c r="D173" s="1" t="s">
        <v>611</v>
      </c>
      <c r="E173" s="1" t="s">
        <v>603</v>
      </c>
      <c r="F173" s="1" t="s">
        <v>603</v>
      </c>
      <c r="G173" s="1"/>
      <c r="H173" s="1" t="s">
        <v>15</v>
      </c>
      <c r="I173" s="1"/>
      <c r="J173" s="1"/>
      <c r="K173" s="1"/>
      <c r="L173" s="1" t="s">
        <v>1431</v>
      </c>
    </row>
    <row r="174" spans="1:12" ht="42" x14ac:dyDescent="0.15">
      <c r="A174" s="1" t="s">
        <v>597</v>
      </c>
      <c r="B174" s="8" t="s">
        <v>613</v>
      </c>
      <c r="C174" s="1" t="s">
        <v>614</v>
      </c>
      <c r="D174" s="1" t="s">
        <v>613</v>
      </c>
      <c r="E174" s="1" t="s">
        <v>603</v>
      </c>
      <c r="F174" s="1" t="s">
        <v>603</v>
      </c>
      <c r="G174" s="1"/>
      <c r="H174" s="1" t="s">
        <v>15</v>
      </c>
      <c r="I174" s="1"/>
      <c r="J174" s="1"/>
      <c r="K174" s="1"/>
      <c r="L174" s="1" t="s">
        <v>1431</v>
      </c>
    </row>
    <row r="175" spans="1:12" ht="42" x14ac:dyDescent="0.15">
      <c r="A175" s="1" t="s">
        <v>597</v>
      </c>
      <c r="B175" s="8" t="s">
        <v>615</v>
      </c>
      <c r="C175" s="1" t="s">
        <v>616</v>
      </c>
      <c r="D175" s="1" t="s">
        <v>615</v>
      </c>
      <c r="E175" s="1" t="s">
        <v>603</v>
      </c>
      <c r="F175" s="1" t="s">
        <v>603</v>
      </c>
      <c r="G175" s="1"/>
      <c r="H175" s="1" t="s">
        <v>15</v>
      </c>
      <c r="I175" s="1"/>
      <c r="J175" s="1"/>
      <c r="K175" s="1"/>
      <c r="L175" s="1" t="s">
        <v>1431</v>
      </c>
    </row>
    <row r="176" spans="1:12" ht="45" x14ac:dyDescent="0.15">
      <c r="A176" s="1" t="s">
        <v>597</v>
      </c>
      <c r="B176" s="8" t="s">
        <v>617</v>
      </c>
      <c r="C176" s="1" t="s">
        <v>618</v>
      </c>
      <c r="D176" s="1" t="s">
        <v>617</v>
      </c>
      <c r="E176" s="1" t="s">
        <v>603</v>
      </c>
      <c r="F176" s="1" t="s">
        <v>603</v>
      </c>
      <c r="G176" s="1"/>
      <c r="H176" s="1" t="s">
        <v>15</v>
      </c>
      <c r="I176" s="1"/>
      <c r="J176" s="1"/>
      <c r="K176" s="1"/>
      <c r="L176" s="1" t="s">
        <v>1431</v>
      </c>
    </row>
    <row r="177" spans="1:12" ht="42" x14ac:dyDescent="0.15">
      <c r="A177" s="1" t="s">
        <v>597</v>
      </c>
      <c r="B177" s="8" t="s">
        <v>619</v>
      </c>
      <c r="C177" s="1" t="s">
        <v>620</v>
      </c>
      <c r="D177" s="1" t="s">
        <v>619</v>
      </c>
      <c r="E177" s="1" t="s">
        <v>603</v>
      </c>
      <c r="F177" s="1" t="s">
        <v>603</v>
      </c>
      <c r="G177" s="1"/>
      <c r="H177" s="1" t="s">
        <v>20</v>
      </c>
      <c r="I177" s="1"/>
      <c r="J177" s="1"/>
      <c r="K177" s="1"/>
      <c r="L177" s="1" t="s">
        <v>1431</v>
      </c>
    </row>
    <row r="178" spans="1:12" ht="56" x14ac:dyDescent="0.15">
      <c r="A178" s="1" t="s">
        <v>597</v>
      </c>
      <c r="B178" s="8" t="s">
        <v>621</v>
      </c>
      <c r="C178" s="1" t="s">
        <v>622</v>
      </c>
      <c r="D178" s="1" t="s">
        <v>621</v>
      </c>
      <c r="E178" s="1" t="s">
        <v>603</v>
      </c>
      <c r="F178" s="1" t="s">
        <v>603</v>
      </c>
      <c r="G178" s="1"/>
      <c r="H178" s="1" t="s">
        <v>15</v>
      </c>
      <c r="I178" s="1"/>
      <c r="J178" s="1"/>
      <c r="K178" s="1"/>
      <c r="L178" s="1" t="s">
        <v>1431</v>
      </c>
    </row>
    <row r="179" spans="1:12" ht="28" x14ac:dyDescent="0.15">
      <c r="A179" s="1" t="s">
        <v>523</v>
      </c>
      <c r="B179" s="1" t="s">
        <v>623</v>
      </c>
      <c r="C179" s="1" t="s">
        <v>624</v>
      </c>
      <c r="D179" s="1" t="s">
        <v>625</v>
      </c>
      <c r="E179" s="1" t="s">
        <v>85</v>
      </c>
      <c r="F179" s="1" t="s">
        <v>14</v>
      </c>
      <c r="G179" s="1"/>
      <c r="H179" s="1" t="s">
        <v>15</v>
      </c>
      <c r="I179" s="1"/>
      <c r="J179" s="1"/>
      <c r="K179" s="1">
        <v>1</v>
      </c>
      <c r="L179" s="1" t="s">
        <v>1438</v>
      </c>
    </row>
  </sheetData>
  <phoneticPr fontId="13" type="noConversion"/>
  <hyperlinks>
    <hyperlink ref="D7" r:id="rId1" xr:uid="{00000000-0004-0000-0100-000000000000}"/>
    <hyperlink ref="D8" r:id="rId2" xr:uid="{00000000-0004-0000-0100-000001000000}"/>
  </hyperlinks>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6C0C-1392-A44B-A48E-744EF248D3AA}">
  <dimension ref="A1:B12"/>
  <sheetViews>
    <sheetView workbookViewId="0">
      <selection activeCell="B11" sqref="B11"/>
    </sheetView>
  </sheetViews>
  <sheetFormatPr baseColWidth="10" defaultRowHeight="13" x14ac:dyDescent="0.15"/>
  <cols>
    <col min="1" max="1" width="12.5" bestFit="1" customWidth="1"/>
  </cols>
  <sheetData>
    <row r="1" spans="1:2" x14ac:dyDescent="0.15">
      <c r="A1" s="22" t="s">
        <v>2</v>
      </c>
      <c r="B1" s="22" t="s">
        <v>1372</v>
      </c>
    </row>
    <row r="2" spans="1:2" x14ac:dyDescent="0.15">
      <c r="A2" t="s">
        <v>1373</v>
      </c>
      <c r="B2" s="22" t="s">
        <v>1412</v>
      </c>
    </row>
    <row r="3" spans="1:2" x14ac:dyDescent="0.15">
      <c r="A3" t="s">
        <v>1374</v>
      </c>
      <c r="B3" s="22" t="s">
        <v>1413</v>
      </c>
    </row>
    <row r="4" spans="1:2" x14ac:dyDescent="0.15">
      <c r="A4" t="s">
        <v>1375</v>
      </c>
      <c r="B4" s="22" t="s">
        <v>1414</v>
      </c>
    </row>
    <row r="5" spans="1:2" x14ac:dyDescent="0.15">
      <c r="A5" t="s">
        <v>1376</v>
      </c>
      <c r="B5" s="22" t="s">
        <v>1415</v>
      </c>
    </row>
    <row r="6" spans="1:2" x14ac:dyDescent="0.15">
      <c r="A6" t="s">
        <v>1377</v>
      </c>
      <c r="B6" s="22" t="s">
        <v>1416</v>
      </c>
    </row>
    <row r="7" spans="1:2" x14ac:dyDescent="0.15">
      <c r="A7" t="s">
        <v>1378</v>
      </c>
      <c r="B7" s="22" t="s">
        <v>1417</v>
      </c>
    </row>
    <row r="8" spans="1:2" x14ac:dyDescent="0.15">
      <c r="A8" t="s">
        <v>1379</v>
      </c>
      <c r="B8" s="22" t="s">
        <v>1418</v>
      </c>
    </row>
    <row r="9" spans="1:2" x14ac:dyDescent="0.15">
      <c r="A9" t="s">
        <v>1380</v>
      </c>
      <c r="B9" s="22" t="s">
        <v>1419</v>
      </c>
    </row>
    <row r="10" spans="1:2" x14ac:dyDescent="0.15">
      <c r="A10" t="s">
        <v>1381</v>
      </c>
      <c r="B10" s="22" t="s">
        <v>1422</v>
      </c>
    </row>
    <row r="11" spans="1:2" x14ac:dyDescent="0.15">
      <c r="A11" t="s">
        <v>1382</v>
      </c>
      <c r="B11" s="22" t="s">
        <v>1421</v>
      </c>
    </row>
    <row r="12" spans="1:2" x14ac:dyDescent="0.15">
      <c r="A12" t="s">
        <v>1383</v>
      </c>
      <c r="B12" s="22" t="s">
        <v>1420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D8A9-75CD-2349-9449-1DD40E5C9B40}">
  <dimension ref="A1:E19"/>
  <sheetViews>
    <sheetView workbookViewId="0">
      <selection activeCell="C13" sqref="C13"/>
    </sheetView>
  </sheetViews>
  <sheetFormatPr baseColWidth="10" defaultRowHeight="13" x14ac:dyDescent="0.15"/>
  <cols>
    <col min="1" max="1" width="19.6640625" bestFit="1" customWidth="1"/>
    <col min="2" max="2" width="17.6640625" bestFit="1" customWidth="1"/>
    <col min="3" max="3" width="88.6640625" bestFit="1" customWidth="1"/>
  </cols>
  <sheetData>
    <row r="1" spans="1:5" x14ac:dyDescent="0.15">
      <c r="A1" s="22" t="s">
        <v>2</v>
      </c>
      <c r="B1" s="22" t="s">
        <v>1403</v>
      </c>
      <c r="C1" s="22" t="s">
        <v>1404</v>
      </c>
    </row>
    <row r="2" spans="1:5" x14ac:dyDescent="0.15">
      <c r="A2" t="s">
        <v>1384</v>
      </c>
      <c r="B2" s="22" t="s">
        <v>17</v>
      </c>
      <c r="C2" s="22" t="s">
        <v>1406</v>
      </c>
    </row>
    <row r="3" spans="1:5" x14ac:dyDescent="0.15">
      <c r="A3" t="s">
        <v>1385</v>
      </c>
      <c r="B3" s="22" t="s">
        <v>10</v>
      </c>
      <c r="C3" s="22" t="s">
        <v>1406</v>
      </c>
      <c r="E3" s="24" t="s">
        <v>1402</v>
      </c>
    </row>
    <row r="4" spans="1:5" x14ac:dyDescent="0.15">
      <c r="A4" t="s">
        <v>1386</v>
      </c>
      <c r="B4" s="22" t="s">
        <v>1405</v>
      </c>
      <c r="C4" s="22" t="s">
        <v>1406</v>
      </c>
    </row>
    <row r="5" spans="1:5" x14ac:dyDescent="0.15">
      <c r="A5" t="s">
        <v>1387</v>
      </c>
      <c r="B5" s="22" t="s">
        <v>17</v>
      </c>
      <c r="C5" s="22" t="s">
        <v>1407</v>
      </c>
    </row>
    <row r="6" spans="1:5" x14ac:dyDescent="0.15">
      <c r="A6" t="s">
        <v>1388</v>
      </c>
      <c r="B6" s="22" t="s">
        <v>10</v>
      </c>
      <c r="C6" s="22" t="s">
        <v>1407</v>
      </c>
    </row>
    <row r="7" spans="1:5" x14ac:dyDescent="0.15">
      <c r="A7" t="s">
        <v>1389</v>
      </c>
      <c r="B7" s="22" t="s">
        <v>1405</v>
      </c>
      <c r="C7" s="22" t="s">
        <v>1407</v>
      </c>
    </row>
    <row r="8" spans="1:5" x14ac:dyDescent="0.15">
      <c r="A8" t="s">
        <v>1390</v>
      </c>
      <c r="B8" s="22" t="s">
        <v>17</v>
      </c>
      <c r="C8" s="22" t="s">
        <v>1408</v>
      </c>
    </row>
    <row r="9" spans="1:5" x14ac:dyDescent="0.15">
      <c r="A9" t="s">
        <v>1391</v>
      </c>
      <c r="B9" s="22" t="s">
        <v>10</v>
      </c>
      <c r="C9" s="22" t="s">
        <v>1408</v>
      </c>
    </row>
    <row r="10" spans="1:5" x14ac:dyDescent="0.15">
      <c r="A10" t="s">
        <v>1392</v>
      </c>
      <c r="B10" s="22" t="s">
        <v>1405</v>
      </c>
      <c r="C10" s="22" t="s">
        <v>1408</v>
      </c>
    </row>
    <row r="11" spans="1:5" x14ac:dyDescent="0.15">
      <c r="A11" t="s">
        <v>1393</v>
      </c>
      <c r="B11" s="22" t="s">
        <v>17</v>
      </c>
      <c r="C11" s="22" t="s">
        <v>1411</v>
      </c>
    </row>
    <row r="12" spans="1:5" x14ac:dyDescent="0.15">
      <c r="A12" t="s">
        <v>1394</v>
      </c>
      <c r="B12" s="22" t="s">
        <v>10</v>
      </c>
      <c r="C12" s="22" t="s">
        <v>1411</v>
      </c>
    </row>
    <row r="13" spans="1:5" x14ac:dyDescent="0.15">
      <c r="A13" t="s">
        <v>1395</v>
      </c>
      <c r="B13" s="22" t="s">
        <v>1405</v>
      </c>
      <c r="C13" s="22" t="s">
        <v>1411</v>
      </c>
    </row>
    <row r="14" spans="1:5" x14ac:dyDescent="0.15">
      <c r="A14" t="s">
        <v>1396</v>
      </c>
      <c r="B14" s="22" t="s">
        <v>17</v>
      </c>
      <c r="C14" s="22" t="s">
        <v>1409</v>
      </c>
    </row>
    <row r="15" spans="1:5" x14ac:dyDescent="0.15">
      <c r="A15" t="s">
        <v>1397</v>
      </c>
      <c r="B15" s="22" t="s">
        <v>10</v>
      </c>
      <c r="C15" s="22" t="s">
        <v>1409</v>
      </c>
    </row>
    <row r="16" spans="1:5" x14ac:dyDescent="0.15">
      <c r="A16" t="s">
        <v>1398</v>
      </c>
      <c r="B16" s="22" t="s">
        <v>1405</v>
      </c>
      <c r="C16" s="22" t="s">
        <v>1409</v>
      </c>
    </row>
    <row r="17" spans="1:3" x14ac:dyDescent="0.15">
      <c r="A17" t="s">
        <v>1399</v>
      </c>
      <c r="B17" s="22" t="s">
        <v>17</v>
      </c>
      <c r="C17" s="22" t="s">
        <v>1410</v>
      </c>
    </row>
    <row r="18" spans="1:3" x14ac:dyDescent="0.15">
      <c r="A18" t="s">
        <v>1400</v>
      </c>
      <c r="B18" s="22" t="s">
        <v>10</v>
      </c>
      <c r="C18" s="22" t="s">
        <v>1410</v>
      </c>
    </row>
    <row r="19" spans="1:3" x14ac:dyDescent="0.15">
      <c r="A19" t="s">
        <v>1401</v>
      </c>
      <c r="B19" s="22" t="s">
        <v>1405</v>
      </c>
      <c r="C19" s="22" t="s">
        <v>1410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98"/>
  <sheetViews>
    <sheetView workbookViewId="0">
      <pane ySplit="1" topLeftCell="A2" activePane="bottomLeft" state="frozen"/>
      <selection pane="bottomLeft" activeCell="E1" sqref="E1"/>
    </sheetView>
  </sheetViews>
  <sheetFormatPr baseColWidth="10" defaultColWidth="12.6640625" defaultRowHeight="15.75" customHeight="1" x14ac:dyDescent="0.15"/>
  <cols>
    <col min="1" max="1" width="30.5" customWidth="1"/>
    <col min="2" max="2" width="32.5" customWidth="1"/>
    <col min="3" max="3" width="23.33203125" customWidth="1"/>
  </cols>
  <sheetData>
    <row r="1" spans="1:5" ht="15.75" customHeight="1" x14ac:dyDescent="0.15">
      <c r="A1" s="10" t="s">
        <v>626</v>
      </c>
      <c r="B1" s="10" t="s">
        <v>627</v>
      </c>
      <c r="C1" s="10" t="s">
        <v>628</v>
      </c>
      <c r="D1" s="20" t="s">
        <v>1152</v>
      </c>
      <c r="E1" s="1"/>
    </row>
    <row r="2" spans="1:5" ht="34" x14ac:dyDescent="0.2">
      <c r="A2" s="12" t="s">
        <v>319</v>
      </c>
      <c r="B2" s="10" t="s">
        <v>629</v>
      </c>
      <c r="C2" s="10" t="s">
        <v>630</v>
      </c>
      <c r="D2" t="s">
        <v>1169</v>
      </c>
    </row>
    <row r="3" spans="1:5" ht="34" x14ac:dyDescent="0.2">
      <c r="A3" s="12" t="s">
        <v>335</v>
      </c>
      <c r="B3" s="10" t="s">
        <v>631</v>
      </c>
      <c r="C3" s="10" t="s">
        <v>630</v>
      </c>
      <c r="D3" t="s">
        <v>1170</v>
      </c>
    </row>
    <row r="4" spans="1:5" ht="17" x14ac:dyDescent="0.2">
      <c r="A4" s="12" t="s">
        <v>215</v>
      </c>
      <c r="B4" s="10"/>
      <c r="C4" s="10" t="s">
        <v>630</v>
      </c>
      <c r="D4" t="s">
        <v>1166</v>
      </c>
    </row>
    <row r="5" spans="1:5" ht="29" x14ac:dyDescent="0.2">
      <c r="A5" s="12" t="s">
        <v>130</v>
      </c>
      <c r="B5" s="10" t="s">
        <v>632</v>
      </c>
      <c r="C5" s="10" t="s">
        <v>630</v>
      </c>
      <c r="D5" t="s">
        <v>1159</v>
      </c>
    </row>
    <row r="6" spans="1:5" ht="17" x14ac:dyDescent="0.2">
      <c r="A6" s="12" t="s">
        <v>212</v>
      </c>
      <c r="B6" s="10" t="s">
        <v>633</v>
      </c>
      <c r="C6" s="10" t="s">
        <v>211</v>
      </c>
      <c r="D6" t="s">
        <v>1165</v>
      </c>
    </row>
    <row r="7" spans="1:5" ht="29" x14ac:dyDescent="0.2">
      <c r="A7" s="12" t="s">
        <v>226</v>
      </c>
      <c r="B7" s="10" t="s">
        <v>634</v>
      </c>
      <c r="C7" s="10" t="s">
        <v>211</v>
      </c>
      <c r="D7" t="s">
        <v>1167</v>
      </c>
    </row>
    <row r="8" spans="1:5" ht="34" x14ac:dyDescent="0.2">
      <c r="A8" s="12" t="s">
        <v>386</v>
      </c>
      <c r="B8" s="20" t="s">
        <v>1151</v>
      </c>
      <c r="C8" s="10" t="s">
        <v>635</v>
      </c>
      <c r="D8" t="s">
        <v>1173</v>
      </c>
    </row>
    <row r="9" spans="1:5" ht="34" x14ac:dyDescent="0.2">
      <c r="A9" s="12" t="s">
        <v>426</v>
      </c>
      <c r="B9" s="10" t="s">
        <v>636</v>
      </c>
      <c r="C9" s="10" t="s">
        <v>635</v>
      </c>
      <c r="D9" s="22" t="s">
        <v>1176</v>
      </c>
    </row>
    <row r="10" spans="1:5" ht="34" x14ac:dyDescent="0.2">
      <c r="A10" s="12" t="s">
        <v>392</v>
      </c>
      <c r="B10" s="10" t="s">
        <v>637</v>
      </c>
      <c r="C10" s="10" t="s">
        <v>635</v>
      </c>
      <c r="D10" t="s">
        <v>1174</v>
      </c>
    </row>
    <row r="11" spans="1:5" ht="34" x14ac:dyDescent="0.2">
      <c r="A11" s="12" t="s">
        <v>402</v>
      </c>
      <c r="B11" s="10" t="s">
        <v>638</v>
      </c>
      <c r="C11" s="10" t="s">
        <v>635</v>
      </c>
      <c r="D11" s="22" t="s">
        <v>1175</v>
      </c>
    </row>
    <row r="12" spans="1:5" ht="17" x14ac:dyDescent="0.2">
      <c r="A12" s="12" t="s">
        <v>136</v>
      </c>
      <c r="B12" s="10" t="s">
        <v>639</v>
      </c>
      <c r="C12" s="10" t="s">
        <v>640</v>
      </c>
      <c r="D12" t="s">
        <v>1160</v>
      </c>
    </row>
    <row r="13" spans="1:5" ht="17" x14ac:dyDescent="0.2">
      <c r="A13" s="12" t="s">
        <v>190</v>
      </c>
      <c r="B13" s="10"/>
      <c r="C13" s="10" t="s">
        <v>640</v>
      </c>
      <c r="D13" t="s">
        <v>1162</v>
      </c>
    </row>
    <row r="14" spans="1:5" ht="29" x14ac:dyDescent="0.2">
      <c r="A14" s="12" t="s">
        <v>198</v>
      </c>
      <c r="B14" s="10" t="s">
        <v>641</v>
      </c>
      <c r="C14" s="10" t="s">
        <v>640</v>
      </c>
      <c r="D14" t="s">
        <v>1164</v>
      </c>
    </row>
    <row r="15" spans="1:5" ht="17" x14ac:dyDescent="0.2">
      <c r="A15" s="12" t="s">
        <v>89</v>
      </c>
      <c r="B15" s="10" t="s">
        <v>642</v>
      </c>
      <c r="C15" s="10" t="s">
        <v>85</v>
      </c>
      <c r="D15" t="s">
        <v>1156</v>
      </c>
    </row>
    <row r="16" spans="1:5" ht="17" x14ac:dyDescent="0.2">
      <c r="A16" s="12" t="s">
        <v>94</v>
      </c>
      <c r="B16" s="10" t="s">
        <v>643</v>
      </c>
      <c r="C16" s="10" t="s">
        <v>85</v>
      </c>
      <c r="D16" t="s">
        <v>1157</v>
      </c>
    </row>
    <row r="17" spans="1:4" ht="17" x14ac:dyDescent="0.2">
      <c r="A17" s="12" t="s">
        <v>86</v>
      </c>
      <c r="B17" s="10"/>
      <c r="C17" s="10" t="s">
        <v>85</v>
      </c>
      <c r="D17" t="s">
        <v>1155</v>
      </c>
    </row>
    <row r="18" spans="1:4" ht="29" x14ac:dyDescent="0.2">
      <c r="A18" s="12" t="s">
        <v>53</v>
      </c>
      <c r="B18" s="10" t="s">
        <v>644</v>
      </c>
      <c r="C18" s="10" t="s">
        <v>645</v>
      </c>
      <c r="D18" t="s">
        <v>1154</v>
      </c>
    </row>
    <row r="19" spans="1:4" ht="34" x14ac:dyDescent="0.2">
      <c r="A19" s="12" t="s">
        <v>25</v>
      </c>
      <c r="B19" s="10" t="s">
        <v>646</v>
      </c>
      <c r="C19" s="10" t="s">
        <v>645</v>
      </c>
      <c r="D19" t="s">
        <v>1153</v>
      </c>
    </row>
    <row r="20" spans="1:4" ht="17" x14ac:dyDescent="0.2">
      <c r="A20" s="12" t="s">
        <v>126</v>
      </c>
      <c r="B20" s="10"/>
      <c r="C20" s="10" t="s">
        <v>647</v>
      </c>
      <c r="D20" t="s">
        <v>1158</v>
      </c>
    </row>
    <row r="21" spans="1:4" ht="29" x14ac:dyDescent="0.2">
      <c r="A21" s="12" t="s">
        <v>195</v>
      </c>
      <c r="B21" s="10" t="s">
        <v>648</v>
      </c>
      <c r="C21" s="10" t="s">
        <v>647</v>
      </c>
      <c r="D21" t="s">
        <v>1163</v>
      </c>
    </row>
    <row r="22" spans="1:4" ht="29" x14ac:dyDescent="0.2">
      <c r="A22" s="12" t="s">
        <v>265</v>
      </c>
      <c r="B22" s="10" t="s">
        <v>649</v>
      </c>
      <c r="C22" s="10" t="s">
        <v>650</v>
      </c>
      <c r="D22" t="s">
        <v>1168</v>
      </c>
    </row>
    <row r="23" spans="1:4" ht="17" x14ac:dyDescent="0.2">
      <c r="A23" s="12" t="s">
        <v>371</v>
      </c>
      <c r="B23" s="10" t="s">
        <v>651</v>
      </c>
      <c r="C23" s="10" t="s">
        <v>650</v>
      </c>
      <c r="D23" t="s">
        <v>1172</v>
      </c>
    </row>
    <row r="24" spans="1:4" ht="17" x14ac:dyDescent="0.2">
      <c r="A24" s="12" t="s">
        <v>172</v>
      </c>
      <c r="B24" s="10" t="s">
        <v>652</v>
      </c>
      <c r="C24" s="10" t="s">
        <v>650</v>
      </c>
      <c r="D24" t="s">
        <v>1161</v>
      </c>
    </row>
    <row r="25" spans="1:4" ht="17" x14ac:dyDescent="0.2">
      <c r="A25" s="12" t="s">
        <v>354</v>
      </c>
      <c r="B25" s="10" t="s">
        <v>653</v>
      </c>
      <c r="C25" s="10" t="s">
        <v>650</v>
      </c>
      <c r="D25" t="s">
        <v>1171</v>
      </c>
    </row>
    <row r="26" spans="1:4" ht="15.75" customHeight="1" x14ac:dyDescent="0.15">
      <c r="A26" s="10" t="s">
        <v>527</v>
      </c>
      <c r="B26" s="10" t="s">
        <v>654</v>
      </c>
      <c r="C26" s="10" t="s">
        <v>650</v>
      </c>
    </row>
    <row r="27" spans="1:4" ht="15.75" customHeight="1" x14ac:dyDescent="0.15">
      <c r="A27" s="10" t="s">
        <v>514</v>
      </c>
      <c r="B27" s="10" t="s">
        <v>655</v>
      </c>
      <c r="C27" s="10" t="s">
        <v>645</v>
      </c>
    </row>
    <row r="28" spans="1:4" ht="15.75" customHeight="1" x14ac:dyDescent="0.15">
      <c r="A28" s="10" t="s">
        <v>553</v>
      </c>
      <c r="B28" s="10"/>
      <c r="C28" s="10" t="s">
        <v>85</v>
      </c>
    </row>
    <row r="29" spans="1:4" ht="15.75" customHeight="1" x14ac:dyDescent="0.15">
      <c r="A29" s="10" t="s">
        <v>603</v>
      </c>
      <c r="B29" s="10"/>
      <c r="C29" s="10" t="s">
        <v>211</v>
      </c>
    </row>
    <row r="30" spans="1:4" ht="15.75" customHeight="1" x14ac:dyDescent="0.15">
      <c r="A30" s="10"/>
      <c r="B30" s="10"/>
      <c r="C30" s="10"/>
    </row>
    <row r="31" spans="1:4" ht="15.75" customHeight="1" x14ac:dyDescent="0.15">
      <c r="A31" s="10"/>
      <c r="B31" s="10"/>
      <c r="C31" s="10"/>
    </row>
    <row r="32" spans="1:4" ht="15.75" customHeight="1" x14ac:dyDescent="0.15">
      <c r="A32" s="10"/>
      <c r="B32" s="10"/>
      <c r="C32" s="10"/>
    </row>
    <row r="33" spans="1:3" ht="15.75" customHeight="1" x14ac:dyDescent="0.15">
      <c r="A33" s="10"/>
      <c r="B33" s="10"/>
      <c r="C33" s="10"/>
    </row>
    <row r="34" spans="1:3" ht="15.75" customHeight="1" x14ac:dyDescent="0.15">
      <c r="A34" s="10"/>
      <c r="B34" s="10"/>
      <c r="C34" s="10"/>
    </row>
    <row r="35" spans="1:3" ht="15.75" customHeight="1" x14ac:dyDescent="0.15">
      <c r="A35" s="10"/>
      <c r="B35" s="10"/>
      <c r="C35" s="10"/>
    </row>
    <row r="36" spans="1:3" ht="15.75" customHeight="1" x14ac:dyDescent="0.15">
      <c r="A36" s="10"/>
      <c r="B36" s="10"/>
      <c r="C36" s="10"/>
    </row>
    <row r="37" spans="1:3" ht="15.75" customHeight="1" x14ac:dyDescent="0.15">
      <c r="A37" s="10"/>
      <c r="B37" s="10"/>
      <c r="C37" s="10"/>
    </row>
    <row r="38" spans="1:3" ht="15.75" customHeight="1" x14ac:dyDescent="0.15">
      <c r="A38" s="10"/>
      <c r="B38" s="10"/>
      <c r="C38" s="10"/>
    </row>
    <row r="39" spans="1:3" ht="15.75" customHeight="1" x14ac:dyDescent="0.15">
      <c r="A39" s="10"/>
      <c r="B39" s="10"/>
      <c r="C39" s="10"/>
    </row>
    <row r="40" spans="1:3" ht="15.75" customHeight="1" x14ac:dyDescent="0.15">
      <c r="A40" s="10"/>
      <c r="B40" s="10"/>
      <c r="C40" s="10"/>
    </row>
    <row r="41" spans="1:3" ht="15.75" customHeight="1" x14ac:dyDescent="0.15">
      <c r="A41" s="10"/>
      <c r="B41" s="10"/>
      <c r="C41" s="10"/>
    </row>
    <row r="42" spans="1:3" ht="15.75" customHeight="1" x14ac:dyDescent="0.15">
      <c r="A42" s="10"/>
      <c r="B42" s="10"/>
      <c r="C42" s="10"/>
    </row>
    <row r="43" spans="1:3" ht="15.75" customHeight="1" x14ac:dyDescent="0.15">
      <c r="A43" s="10"/>
      <c r="B43" s="10"/>
      <c r="C43" s="10"/>
    </row>
    <row r="44" spans="1:3" ht="15.75" customHeight="1" x14ac:dyDescent="0.15">
      <c r="A44" s="10"/>
      <c r="B44" s="10"/>
      <c r="C44" s="10"/>
    </row>
    <row r="45" spans="1:3" ht="15.75" customHeight="1" x14ac:dyDescent="0.15">
      <c r="A45" s="10"/>
      <c r="B45" s="10"/>
      <c r="C45" s="10"/>
    </row>
    <row r="46" spans="1:3" ht="15.75" customHeight="1" x14ac:dyDescent="0.15">
      <c r="A46" s="10"/>
      <c r="B46" s="10"/>
      <c r="C46" s="10"/>
    </row>
    <row r="47" spans="1:3" ht="15.75" customHeight="1" x14ac:dyDescent="0.15">
      <c r="A47" s="10"/>
      <c r="B47" s="10"/>
      <c r="C47" s="10"/>
    </row>
    <row r="48" spans="1:3" ht="15.75" customHeight="1" x14ac:dyDescent="0.15">
      <c r="A48" s="10"/>
      <c r="B48" s="10"/>
      <c r="C48" s="10"/>
    </row>
    <row r="49" spans="1:3" ht="15.75" customHeight="1" x14ac:dyDescent="0.15">
      <c r="A49" s="10"/>
      <c r="B49" s="10"/>
      <c r="C49" s="10"/>
    </row>
    <row r="50" spans="1:3" ht="15.75" customHeight="1" x14ac:dyDescent="0.15">
      <c r="A50" s="10"/>
      <c r="B50" s="10"/>
      <c r="C50" s="10"/>
    </row>
    <row r="51" spans="1:3" ht="15.75" customHeight="1" x14ac:dyDescent="0.15">
      <c r="A51" s="10"/>
      <c r="B51" s="10"/>
      <c r="C51" s="10"/>
    </row>
    <row r="52" spans="1:3" ht="15.75" customHeight="1" x14ac:dyDescent="0.15">
      <c r="A52" s="10"/>
      <c r="B52" s="10"/>
      <c r="C52" s="10"/>
    </row>
    <row r="53" spans="1:3" ht="15.75" customHeight="1" x14ac:dyDescent="0.15">
      <c r="A53" s="10"/>
      <c r="B53" s="10"/>
      <c r="C53" s="10"/>
    </row>
    <row r="54" spans="1:3" ht="15.75" customHeight="1" x14ac:dyDescent="0.15">
      <c r="A54" s="10"/>
      <c r="B54" s="10"/>
      <c r="C54" s="10"/>
    </row>
    <row r="55" spans="1:3" ht="15.75" customHeight="1" x14ac:dyDescent="0.15">
      <c r="A55" s="10"/>
      <c r="B55" s="10"/>
      <c r="C55" s="10"/>
    </row>
    <row r="56" spans="1:3" ht="15.75" customHeight="1" x14ac:dyDescent="0.15">
      <c r="A56" s="10"/>
      <c r="B56" s="10"/>
      <c r="C56" s="10"/>
    </row>
    <row r="57" spans="1:3" ht="15.75" customHeight="1" x14ac:dyDescent="0.15">
      <c r="A57" s="10"/>
      <c r="B57" s="10"/>
      <c r="C57" s="10"/>
    </row>
    <row r="58" spans="1:3" ht="15.75" customHeight="1" x14ac:dyDescent="0.15">
      <c r="A58" s="10"/>
      <c r="B58" s="10"/>
      <c r="C58" s="10"/>
    </row>
    <row r="59" spans="1:3" ht="15.75" customHeight="1" x14ac:dyDescent="0.15">
      <c r="A59" s="10"/>
      <c r="B59" s="10"/>
      <c r="C59" s="10"/>
    </row>
    <row r="60" spans="1:3" ht="15.75" customHeight="1" x14ac:dyDescent="0.15">
      <c r="A60" s="10"/>
      <c r="B60" s="10"/>
      <c r="C60" s="10"/>
    </row>
    <row r="61" spans="1:3" ht="15.75" customHeight="1" x14ac:dyDescent="0.15">
      <c r="A61" s="10"/>
      <c r="B61" s="10"/>
      <c r="C61" s="10"/>
    </row>
    <row r="62" spans="1:3" ht="15.75" customHeight="1" x14ac:dyDescent="0.15">
      <c r="A62" s="10"/>
      <c r="B62" s="10"/>
      <c r="C62" s="10"/>
    </row>
    <row r="63" spans="1:3" ht="15.75" customHeight="1" x14ac:dyDescent="0.15">
      <c r="A63" s="10"/>
      <c r="B63" s="10"/>
      <c r="C63" s="10"/>
    </row>
    <row r="64" spans="1:3" ht="15.75" customHeight="1" x14ac:dyDescent="0.15">
      <c r="A64" s="10"/>
      <c r="B64" s="10"/>
      <c r="C64" s="10"/>
    </row>
    <row r="65" spans="1:3" ht="15.75" customHeight="1" x14ac:dyDescent="0.15">
      <c r="A65" s="10"/>
      <c r="B65" s="10"/>
      <c r="C65" s="10"/>
    </row>
    <row r="66" spans="1:3" ht="13" x14ac:dyDescent="0.15">
      <c r="A66" s="10"/>
      <c r="B66" s="10"/>
      <c r="C66" s="10"/>
    </row>
    <row r="67" spans="1:3" ht="13" x14ac:dyDescent="0.15">
      <c r="A67" s="10"/>
      <c r="B67" s="10"/>
      <c r="C67" s="10"/>
    </row>
    <row r="68" spans="1:3" ht="13" x14ac:dyDescent="0.15">
      <c r="A68" s="10"/>
      <c r="B68" s="10"/>
      <c r="C68" s="10"/>
    </row>
    <row r="69" spans="1:3" ht="13" x14ac:dyDescent="0.15">
      <c r="A69" s="10"/>
      <c r="B69" s="10"/>
      <c r="C69" s="10"/>
    </row>
    <row r="70" spans="1:3" ht="13" x14ac:dyDescent="0.15">
      <c r="A70" s="10"/>
      <c r="B70" s="10"/>
      <c r="C70" s="10"/>
    </row>
    <row r="71" spans="1:3" ht="13" x14ac:dyDescent="0.15">
      <c r="A71" s="10"/>
      <c r="B71" s="10"/>
      <c r="C71" s="10"/>
    </row>
    <row r="72" spans="1:3" ht="13" x14ac:dyDescent="0.15">
      <c r="A72" s="10"/>
      <c r="B72" s="10"/>
      <c r="C72" s="10"/>
    </row>
    <row r="73" spans="1:3" ht="13" x14ac:dyDescent="0.15">
      <c r="A73" s="10"/>
      <c r="B73" s="10"/>
      <c r="C73" s="10"/>
    </row>
    <row r="74" spans="1:3" ht="13" x14ac:dyDescent="0.15">
      <c r="A74" s="10"/>
      <c r="B74" s="10"/>
      <c r="C74" s="10"/>
    </row>
    <row r="75" spans="1:3" ht="13" x14ac:dyDescent="0.15">
      <c r="A75" s="10"/>
      <c r="B75" s="10"/>
      <c r="C75" s="10"/>
    </row>
    <row r="76" spans="1:3" ht="13" x14ac:dyDescent="0.15">
      <c r="A76" s="10"/>
      <c r="B76" s="10"/>
      <c r="C76" s="10"/>
    </row>
    <row r="77" spans="1:3" ht="13" x14ac:dyDescent="0.15">
      <c r="A77" s="10"/>
      <c r="B77" s="10"/>
      <c r="C77" s="10"/>
    </row>
    <row r="78" spans="1:3" ht="13" x14ac:dyDescent="0.15">
      <c r="A78" s="10"/>
      <c r="B78" s="10"/>
      <c r="C78" s="10"/>
    </row>
    <row r="79" spans="1:3" ht="13" x14ac:dyDescent="0.15">
      <c r="A79" s="10"/>
      <c r="B79" s="10"/>
      <c r="C79" s="10"/>
    </row>
    <row r="80" spans="1:3" ht="13" x14ac:dyDescent="0.15">
      <c r="A80" s="10"/>
      <c r="B80" s="10"/>
      <c r="C80" s="10"/>
    </row>
    <row r="81" spans="1:3" ht="13" x14ac:dyDescent="0.15">
      <c r="A81" s="10"/>
      <c r="B81" s="10"/>
      <c r="C81" s="10"/>
    </row>
    <row r="82" spans="1:3" ht="13" x14ac:dyDescent="0.15">
      <c r="A82" s="10"/>
      <c r="B82" s="10"/>
      <c r="C82" s="10"/>
    </row>
    <row r="83" spans="1:3" ht="13" x14ac:dyDescent="0.15">
      <c r="A83" s="10"/>
      <c r="B83" s="10"/>
      <c r="C83" s="10"/>
    </row>
    <row r="84" spans="1:3" ht="13" x14ac:dyDescent="0.15">
      <c r="A84" s="10"/>
      <c r="B84" s="10"/>
      <c r="C84" s="10"/>
    </row>
    <row r="85" spans="1:3" ht="13" x14ac:dyDescent="0.15">
      <c r="A85" s="10"/>
      <c r="B85" s="10"/>
      <c r="C85" s="10"/>
    </row>
    <row r="86" spans="1:3" ht="13" x14ac:dyDescent="0.15">
      <c r="A86" s="10"/>
      <c r="B86" s="10"/>
      <c r="C86" s="10"/>
    </row>
    <row r="87" spans="1:3" ht="13" x14ac:dyDescent="0.15">
      <c r="A87" s="10"/>
      <c r="B87" s="10"/>
      <c r="C87" s="10"/>
    </row>
    <row r="88" spans="1:3" ht="13" x14ac:dyDescent="0.15">
      <c r="A88" s="10"/>
      <c r="B88" s="10"/>
      <c r="C88" s="10"/>
    </row>
    <row r="89" spans="1:3" ht="13" x14ac:dyDescent="0.15">
      <c r="A89" s="10"/>
      <c r="B89" s="10"/>
      <c r="C89" s="10"/>
    </row>
    <row r="90" spans="1:3" ht="13" x14ac:dyDescent="0.15">
      <c r="A90" s="10"/>
      <c r="B90" s="10"/>
      <c r="C90" s="10"/>
    </row>
    <row r="91" spans="1:3" ht="13" x14ac:dyDescent="0.15">
      <c r="A91" s="10"/>
      <c r="B91" s="10"/>
      <c r="C91" s="10"/>
    </row>
    <row r="92" spans="1:3" ht="13" x14ac:dyDescent="0.15">
      <c r="A92" s="10"/>
      <c r="B92" s="10"/>
      <c r="C92" s="10"/>
    </row>
    <row r="93" spans="1:3" ht="13" x14ac:dyDescent="0.15">
      <c r="A93" s="10"/>
      <c r="B93" s="10"/>
      <c r="C93" s="10"/>
    </row>
    <row r="94" spans="1:3" ht="13" x14ac:dyDescent="0.15">
      <c r="A94" s="10"/>
      <c r="B94" s="10"/>
      <c r="C94" s="10"/>
    </row>
    <row r="95" spans="1:3" ht="13" x14ac:dyDescent="0.15">
      <c r="A95" s="10"/>
      <c r="B95" s="10"/>
      <c r="C95" s="10"/>
    </row>
    <row r="96" spans="1:3" ht="13" x14ac:dyDescent="0.15">
      <c r="A96" s="10"/>
      <c r="B96" s="10"/>
      <c r="C96" s="10"/>
    </row>
    <row r="97" spans="1:3" ht="13" x14ac:dyDescent="0.15">
      <c r="A97" s="10"/>
      <c r="B97" s="10"/>
      <c r="C97" s="10"/>
    </row>
    <row r="98" spans="1:3" ht="13" x14ac:dyDescent="0.15">
      <c r="A98" s="10"/>
      <c r="B98" s="10"/>
      <c r="C98" s="10"/>
    </row>
    <row r="99" spans="1:3" ht="13" x14ac:dyDescent="0.15">
      <c r="A99" s="10"/>
      <c r="B99" s="10"/>
      <c r="C99" s="10"/>
    </row>
    <row r="100" spans="1:3" ht="13" x14ac:dyDescent="0.15">
      <c r="A100" s="10"/>
      <c r="B100" s="10"/>
      <c r="C100" s="10"/>
    </row>
    <row r="101" spans="1:3" ht="13" x14ac:dyDescent="0.15">
      <c r="A101" s="10"/>
      <c r="B101" s="10"/>
      <c r="C101" s="10"/>
    </row>
    <row r="102" spans="1:3" ht="13" x14ac:dyDescent="0.15">
      <c r="A102" s="10"/>
      <c r="B102" s="10"/>
      <c r="C102" s="10"/>
    </row>
    <row r="103" spans="1:3" ht="13" x14ac:dyDescent="0.15">
      <c r="A103" s="10"/>
      <c r="B103" s="10"/>
      <c r="C103" s="10"/>
    </row>
    <row r="104" spans="1:3" ht="13" x14ac:dyDescent="0.15">
      <c r="A104" s="10"/>
      <c r="B104" s="10"/>
      <c r="C104" s="10"/>
    </row>
    <row r="105" spans="1:3" ht="13" x14ac:dyDescent="0.15">
      <c r="A105" s="10"/>
      <c r="B105" s="10"/>
      <c r="C105" s="10"/>
    </row>
    <row r="106" spans="1:3" ht="13" x14ac:dyDescent="0.15">
      <c r="A106" s="10"/>
      <c r="B106" s="10"/>
      <c r="C106" s="10"/>
    </row>
    <row r="107" spans="1:3" ht="13" x14ac:dyDescent="0.15">
      <c r="A107" s="10"/>
      <c r="B107" s="10"/>
      <c r="C107" s="10"/>
    </row>
    <row r="108" spans="1:3" ht="13" x14ac:dyDescent="0.15">
      <c r="A108" s="10"/>
      <c r="B108" s="10"/>
      <c r="C108" s="10"/>
    </row>
    <row r="109" spans="1:3" ht="13" x14ac:dyDescent="0.15">
      <c r="A109" s="10"/>
      <c r="B109" s="10"/>
      <c r="C109" s="10"/>
    </row>
    <row r="110" spans="1:3" ht="13" x14ac:dyDescent="0.15">
      <c r="A110" s="10"/>
      <c r="B110" s="10"/>
      <c r="C110" s="10"/>
    </row>
    <row r="111" spans="1:3" ht="13" x14ac:dyDescent="0.15">
      <c r="A111" s="10"/>
      <c r="B111" s="10"/>
      <c r="C111" s="10"/>
    </row>
    <row r="112" spans="1:3" ht="13" x14ac:dyDescent="0.15">
      <c r="A112" s="10"/>
      <c r="B112" s="10"/>
      <c r="C112" s="10"/>
    </row>
    <row r="113" spans="1:3" ht="13" x14ac:dyDescent="0.15">
      <c r="A113" s="10"/>
      <c r="B113" s="10"/>
      <c r="C113" s="10"/>
    </row>
    <row r="114" spans="1:3" ht="13" x14ac:dyDescent="0.15">
      <c r="A114" s="10"/>
      <c r="B114" s="10"/>
      <c r="C114" s="10"/>
    </row>
    <row r="115" spans="1:3" ht="13" x14ac:dyDescent="0.15">
      <c r="A115" s="10"/>
      <c r="B115" s="10"/>
      <c r="C115" s="10"/>
    </row>
    <row r="116" spans="1:3" ht="13" x14ac:dyDescent="0.15">
      <c r="A116" s="10"/>
      <c r="B116" s="10"/>
      <c r="C116" s="10"/>
    </row>
    <row r="117" spans="1:3" ht="13" x14ac:dyDescent="0.15">
      <c r="A117" s="10"/>
      <c r="B117" s="10"/>
      <c r="C117" s="10"/>
    </row>
    <row r="118" spans="1:3" ht="13" x14ac:dyDescent="0.15">
      <c r="A118" s="10"/>
      <c r="B118" s="10"/>
      <c r="C118" s="10"/>
    </row>
    <row r="119" spans="1:3" ht="13" x14ac:dyDescent="0.15">
      <c r="A119" s="10"/>
      <c r="B119" s="10"/>
      <c r="C119" s="10"/>
    </row>
    <row r="120" spans="1:3" ht="13" x14ac:dyDescent="0.15">
      <c r="A120" s="10"/>
      <c r="B120" s="10"/>
      <c r="C120" s="10"/>
    </row>
    <row r="121" spans="1:3" ht="13" x14ac:dyDescent="0.15">
      <c r="A121" s="10"/>
      <c r="B121" s="10"/>
      <c r="C121" s="10"/>
    </row>
    <row r="122" spans="1:3" ht="13" x14ac:dyDescent="0.15">
      <c r="A122" s="10"/>
      <c r="B122" s="10"/>
      <c r="C122" s="10"/>
    </row>
    <row r="123" spans="1:3" ht="13" x14ac:dyDescent="0.15">
      <c r="A123" s="10"/>
      <c r="B123" s="10"/>
      <c r="C123" s="10"/>
    </row>
    <row r="124" spans="1:3" ht="13" x14ac:dyDescent="0.15">
      <c r="A124" s="10"/>
      <c r="B124" s="10"/>
      <c r="C124" s="10"/>
    </row>
    <row r="125" spans="1:3" ht="13" x14ac:dyDescent="0.15">
      <c r="A125" s="10"/>
      <c r="B125" s="10"/>
      <c r="C125" s="10"/>
    </row>
    <row r="126" spans="1:3" ht="13" x14ac:dyDescent="0.15">
      <c r="A126" s="10"/>
      <c r="B126" s="10"/>
      <c r="C126" s="10"/>
    </row>
    <row r="127" spans="1:3" ht="13" x14ac:dyDescent="0.15">
      <c r="A127" s="10"/>
      <c r="B127" s="10"/>
      <c r="C127" s="10"/>
    </row>
    <row r="128" spans="1:3" ht="13" x14ac:dyDescent="0.15">
      <c r="A128" s="10"/>
      <c r="B128" s="10"/>
      <c r="C128" s="10"/>
    </row>
    <row r="129" spans="1:3" ht="13" x14ac:dyDescent="0.15">
      <c r="A129" s="10"/>
      <c r="B129" s="10"/>
      <c r="C129" s="10"/>
    </row>
    <row r="130" spans="1:3" ht="13" x14ac:dyDescent="0.15">
      <c r="A130" s="10"/>
      <c r="B130" s="10"/>
      <c r="C130" s="10"/>
    </row>
    <row r="131" spans="1:3" ht="13" x14ac:dyDescent="0.15">
      <c r="A131" s="10"/>
      <c r="B131" s="10"/>
      <c r="C131" s="10"/>
    </row>
    <row r="132" spans="1:3" ht="13" x14ac:dyDescent="0.15">
      <c r="A132" s="10"/>
      <c r="B132" s="10"/>
      <c r="C132" s="10"/>
    </row>
    <row r="133" spans="1:3" ht="13" x14ac:dyDescent="0.15">
      <c r="A133" s="10"/>
      <c r="B133" s="10"/>
      <c r="C133" s="10"/>
    </row>
    <row r="134" spans="1:3" ht="13" x14ac:dyDescent="0.15">
      <c r="A134" s="10"/>
      <c r="B134" s="10"/>
      <c r="C134" s="10"/>
    </row>
    <row r="135" spans="1:3" ht="13" x14ac:dyDescent="0.15">
      <c r="A135" s="10"/>
      <c r="B135" s="10"/>
      <c r="C135" s="10"/>
    </row>
    <row r="136" spans="1:3" ht="13" x14ac:dyDescent="0.15">
      <c r="A136" s="10"/>
      <c r="B136" s="10"/>
      <c r="C136" s="10"/>
    </row>
    <row r="137" spans="1:3" ht="13" x14ac:dyDescent="0.15">
      <c r="A137" s="10"/>
      <c r="B137" s="10"/>
      <c r="C137" s="10"/>
    </row>
    <row r="138" spans="1:3" ht="13" x14ac:dyDescent="0.15">
      <c r="A138" s="10"/>
      <c r="B138" s="10"/>
      <c r="C138" s="10"/>
    </row>
    <row r="139" spans="1:3" ht="13" x14ac:dyDescent="0.15">
      <c r="A139" s="10"/>
      <c r="B139" s="10"/>
      <c r="C139" s="10"/>
    </row>
    <row r="140" spans="1:3" ht="13" x14ac:dyDescent="0.15">
      <c r="A140" s="10"/>
      <c r="B140" s="10"/>
      <c r="C140" s="10"/>
    </row>
    <row r="141" spans="1:3" ht="13" x14ac:dyDescent="0.15">
      <c r="A141" s="10"/>
      <c r="B141" s="10"/>
      <c r="C141" s="10"/>
    </row>
    <row r="142" spans="1:3" ht="13" x14ac:dyDescent="0.15">
      <c r="A142" s="10"/>
      <c r="B142" s="10"/>
      <c r="C142" s="10"/>
    </row>
    <row r="143" spans="1:3" ht="13" x14ac:dyDescent="0.15">
      <c r="A143" s="10"/>
      <c r="B143" s="10"/>
      <c r="C143" s="10"/>
    </row>
    <row r="144" spans="1:3" ht="13" x14ac:dyDescent="0.15">
      <c r="A144" s="10"/>
      <c r="B144" s="10"/>
      <c r="C144" s="10"/>
    </row>
    <row r="145" spans="1:3" ht="13" x14ac:dyDescent="0.15">
      <c r="A145" s="10"/>
      <c r="B145" s="10"/>
      <c r="C145" s="10"/>
    </row>
    <row r="146" spans="1:3" ht="13" x14ac:dyDescent="0.15">
      <c r="A146" s="10"/>
      <c r="B146" s="10"/>
      <c r="C146" s="10"/>
    </row>
    <row r="147" spans="1:3" ht="13" x14ac:dyDescent="0.15">
      <c r="A147" s="10"/>
      <c r="B147" s="10"/>
      <c r="C147" s="10"/>
    </row>
    <row r="148" spans="1:3" ht="13" x14ac:dyDescent="0.15">
      <c r="A148" s="10"/>
      <c r="B148" s="10"/>
      <c r="C148" s="10"/>
    </row>
    <row r="149" spans="1:3" ht="13" x14ac:dyDescent="0.15">
      <c r="A149" s="10"/>
      <c r="B149" s="10"/>
      <c r="C149" s="10"/>
    </row>
    <row r="150" spans="1:3" ht="13" x14ac:dyDescent="0.15">
      <c r="A150" s="10"/>
      <c r="B150" s="10"/>
      <c r="C150" s="10"/>
    </row>
    <row r="151" spans="1:3" ht="13" x14ac:dyDescent="0.15">
      <c r="A151" s="10"/>
      <c r="B151" s="10"/>
      <c r="C151" s="10"/>
    </row>
    <row r="152" spans="1:3" ht="13" x14ac:dyDescent="0.15">
      <c r="A152" s="10"/>
      <c r="B152" s="10"/>
      <c r="C152" s="10"/>
    </row>
    <row r="153" spans="1:3" ht="13" x14ac:dyDescent="0.15">
      <c r="A153" s="10"/>
      <c r="B153" s="10"/>
      <c r="C153" s="10"/>
    </row>
    <row r="154" spans="1:3" ht="13" x14ac:dyDescent="0.15">
      <c r="A154" s="10"/>
      <c r="B154" s="10"/>
      <c r="C154" s="10"/>
    </row>
    <row r="155" spans="1:3" ht="13" x14ac:dyDescent="0.15">
      <c r="A155" s="10"/>
      <c r="B155" s="10"/>
      <c r="C155" s="10"/>
    </row>
    <row r="156" spans="1:3" ht="13" x14ac:dyDescent="0.15">
      <c r="A156" s="10"/>
      <c r="B156" s="10"/>
      <c r="C156" s="10"/>
    </row>
    <row r="157" spans="1:3" ht="13" x14ac:dyDescent="0.15">
      <c r="A157" s="10"/>
      <c r="B157" s="10"/>
      <c r="C157" s="10"/>
    </row>
    <row r="158" spans="1:3" ht="13" x14ac:dyDescent="0.15">
      <c r="A158" s="10"/>
      <c r="B158" s="10"/>
      <c r="C158" s="10"/>
    </row>
    <row r="159" spans="1:3" ht="13" x14ac:dyDescent="0.15">
      <c r="A159" s="10"/>
      <c r="B159" s="10"/>
      <c r="C159" s="10"/>
    </row>
    <row r="160" spans="1:3" ht="13" x14ac:dyDescent="0.15">
      <c r="A160" s="10"/>
      <c r="B160" s="10"/>
      <c r="C160" s="10"/>
    </row>
    <row r="161" spans="1:3" ht="13" x14ac:dyDescent="0.15">
      <c r="A161" s="10"/>
      <c r="B161" s="10"/>
      <c r="C161" s="10"/>
    </row>
    <row r="162" spans="1:3" ht="13" x14ac:dyDescent="0.15">
      <c r="A162" s="10"/>
      <c r="B162" s="10"/>
      <c r="C162" s="10"/>
    </row>
    <row r="163" spans="1:3" ht="13" x14ac:dyDescent="0.15">
      <c r="A163" s="10"/>
      <c r="B163" s="10"/>
      <c r="C163" s="10"/>
    </row>
    <row r="164" spans="1:3" ht="13" x14ac:dyDescent="0.15">
      <c r="A164" s="10"/>
      <c r="B164" s="10"/>
      <c r="C164" s="10"/>
    </row>
    <row r="165" spans="1:3" ht="13" x14ac:dyDescent="0.15">
      <c r="A165" s="10"/>
      <c r="B165" s="10"/>
      <c r="C165" s="10"/>
    </row>
    <row r="166" spans="1:3" ht="13" x14ac:dyDescent="0.15">
      <c r="A166" s="10"/>
      <c r="B166" s="10"/>
      <c r="C166" s="10"/>
    </row>
    <row r="167" spans="1:3" ht="13" x14ac:dyDescent="0.15">
      <c r="A167" s="10"/>
      <c r="B167" s="10"/>
      <c r="C167" s="10"/>
    </row>
    <row r="168" spans="1:3" ht="13" x14ac:dyDescent="0.15">
      <c r="A168" s="10"/>
      <c r="B168" s="10"/>
      <c r="C168" s="10"/>
    </row>
    <row r="169" spans="1:3" ht="13" x14ac:dyDescent="0.15">
      <c r="A169" s="10"/>
      <c r="B169" s="10"/>
      <c r="C169" s="10"/>
    </row>
    <row r="170" spans="1:3" ht="13" x14ac:dyDescent="0.15">
      <c r="A170" s="10"/>
      <c r="B170" s="10"/>
      <c r="C170" s="10"/>
    </row>
    <row r="171" spans="1:3" ht="13" x14ac:dyDescent="0.15">
      <c r="A171" s="10"/>
      <c r="B171" s="10"/>
      <c r="C171" s="10"/>
    </row>
    <row r="172" spans="1:3" ht="13" x14ac:dyDescent="0.15">
      <c r="A172" s="10"/>
      <c r="B172" s="10"/>
      <c r="C172" s="10"/>
    </row>
    <row r="173" spans="1:3" ht="13" x14ac:dyDescent="0.15">
      <c r="A173" s="10"/>
      <c r="B173" s="10"/>
      <c r="C173" s="10"/>
    </row>
    <row r="174" spans="1:3" ht="13" x14ac:dyDescent="0.15">
      <c r="A174" s="10"/>
      <c r="B174" s="10"/>
      <c r="C174" s="10"/>
    </row>
    <row r="175" spans="1:3" ht="13" x14ac:dyDescent="0.15">
      <c r="A175" s="10"/>
      <c r="B175" s="10"/>
      <c r="C175" s="10"/>
    </row>
    <row r="176" spans="1:3" ht="13" x14ac:dyDescent="0.15">
      <c r="A176" s="10"/>
      <c r="B176" s="10"/>
      <c r="C176" s="10"/>
    </row>
    <row r="177" spans="1:3" ht="13" x14ac:dyDescent="0.15">
      <c r="A177" s="10"/>
      <c r="B177" s="10"/>
      <c r="C177" s="10"/>
    </row>
    <row r="178" spans="1:3" ht="13" x14ac:dyDescent="0.15">
      <c r="A178" s="10"/>
      <c r="B178" s="10"/>
      <c r="C178" s="10"/>
    </row>
    <row r="179" spans="1:3" ht="13" x14ac:dyDescent="0.15">
      <c r="A179" s="10"/>
      <c r="B179" s="10"/>
      <c r="C179" s="10"/>
    </row>
    <row r="180" spans="1:3" ht="13" x14ac:dyDescent="0.15">
      <c r="A180" s="10"/>
      <c r="B180" s="10"/>
      <c r="C180" s="10"/>
    </row>
    <row r="181" spans="1:3" ht="13" x14ac:dyDescent="0.15">
      <c r="A181" s="10"/>
      <c r="B181" s="10"/>
      <c r="C181" s="10"/>
    </row>
    <row r="182" spans="1:3" ht="13" x14ac:dyDescent="0.15">
      <c r="A182" s="10"/>
      <c r="B182" s="10"/>
      <c r="C182" s="10"/>
    </row>
    <row r="183" spans="1:3" ht="13" x14ac:dyDescent="0.15">
      <c r="A183" s="10"/>
      <c r="B183" s="10"/>
      <c r="C183" s="10"/>
    </row>
    <row r="184" spans="1:3" ht="13" x14ac:dyDescent="0.15">
      <c r="A184" s="10"/>
      <c r="B184" s="10"/>
      <c r="C184" s="10"/>
    </row>
    <row r="185" spans="1:3" ht="13" x14ac:dyDescent="0.15">
      <c r="A185" s="10"/>
      <c r="B185" s="10"/>
      <c r="C185" s="10"/>
    </row>
    <row r="186" spans="1:3" ht="13" x14ac:dyDescent="0.15">
      <c r="A186" s="10"/>
      <c r="B186" s="10"/>
      <c r="C186" s="10"/>
    </row>
    <row r="187" spans="1:3" ht="13" x14ac:dyDescent="0.15">
      <c r="A187" s="10"/>
      <c r="B187" s="10"/>
      <c r="C187" s="10"/>
    </row>
    <row r="188" spans="1:3" ht="13" x14ac:dyDescent="0.15">
      <c r="A188" s="10"/>
      <c r="B188" s="10"/>
      <c r="C188" s="10"/>
    </row>
    <row r="189" spans="1:3" ht="13" x14ac:dyDescent="0.15">
      <c r="A189" s="10"/>
      <c r="B189" s="10"/>
      <c r="C189" s="10"/>
    </row>
    <row r="190" spans="1:3" ht="13" x14ac:dyDescent="0.15">
      <c r="A190" s="10"/>
      <c r="B190" s="10"/>
      <c r="C190" s="10"/>
    </row>
    <row r="191" spans="1:3" ht="13" x14ac:dyDescent="0.15">
      <c r="A191" s="10"/>
      <c r="B191" s="10"/>
      <c r="C191" s="10"/>
    </row>
    <row r="192" spans="1:3" ht="13" x14ac:dyDescent="0.15">
      <c r="A192" s="10"/>
      <c r="B192" s="10"/>
      <c r="C192" s="10"/>
    </row>
    <row r="193" spans="1:3" ht="13" x14ac:dyDescent="0.15">
      <c r="A193" s="10"/>
      <c r="B193" s="10"/>
      <c r="C193" s="10"/>
    </row>
    <row r="194" spans="1:3" ht="13" x14ac:dyDescent="0.15">
      <c r="A194" s="10"/>
      <c r="B194" s="10"/>
      <c r="C194" s="10"/>
    </row>
    <row r="195" spans="1:3" ht="13" x14ac:dyDescent="0.15">
      <c r="A195" s="10"/>
      <c r="B195" s="10"/>
      <c r="C195" s="10"/>
    </row>
    <row r="196" spans="1:3" ht="13" x14ac:dyDescent="0.15">
      <c r="A196" s="10"/>
      <c r="B196" s="10"/>
      <c r="C196" s="10"/>
    </row>
    <row r="197" spans="1:3" ht="13" x14ac:dyDescent="0.15">
      <c r="A197" s="10"/>
      <c r="B197" s="10"/>
      <c r="C197" s="10"/>
    </row>
    <row r="198" spans="1:3" ht="13" x14ac:dyDescent="0.15">
      <c r="A198" s="10"/>
      <c r="B198" s="10"/>
      <c r="C198" s="10"/>
    </row>
    <row r="199" spans="1:3" ht="13" x14ac:dyDescent="0.15">
      <c r="A199" s="10"/>
      <c r="B199" s="10"/>
      <c r="C199" s="10"/>
    </row>
    <row r="200" spans="1:3" ht="13" x14ac:dyDescent="0.15">
      <c r="A200" s="10"/>
      <c r="B200" s="10"/>
      <c r="C200" s="10"/>
    </row>
    <row r="201" spans="1:3" ht="13" x14ac:dyDescent="0.15">
      <c r="A201" s="10"/>
      <c r="B201" s="10"/>
      <c r="C201" s="10"/>
    </row>
    <row r="202" spans="1:3" ht="13" x14ac:dyDescent="0.15">
      <c r="A202" s="10"/>
      <c r="B202" s="10"/>
      <c r="C202" s="10"/>
    </row>
    <row r="203" spans="1:3" ht="13" x14ac:dyDescent="0.15">
      <c r="A203" s="10"/>
      <c r="B203" s="10"/>
      <c r="C203" s="10"/>
    </row>
    <row r="204" spans="1:3" ht="13" x14ac:dyDescent="0.15">
      <c r="A204" s="10"/>
      <c r="B204" s="10"/>
      <c r="C204" s="10"/>
    </row>
    <row r="205" spans="1:3" ht="13" x14ac:dyDescent="0.15">
      <c r="A205" s="10"/>
      <c r="B205" s="10"/>
      <c r="C205" s="10"/>
    </row>
    <row r="206" spans="1:3" ht="13" x14ac:dyDescent="0.15">
      <c r="A206" s="10"/>
      <c r="B206" s="10"/>
      <c r="C206" s="10"/>
    </row>
    <row r="207" spans="1:3" ht="13" x14ac:dyDescent="0.15">
      <c r="A207" s="10"/>
      <c r="B207" s="10"/>
      <c r="C207" s="10"/>
    </row>
    <row r="208" spans="1:3" ht="13" x14ac:dyDescent="0.15">
      <c r="A208" s="10"/>
      <c r="B208" s="10"/>
      <c r="C208" s="10"/>
    </row>
    <row r="209" spans="1:3" ht="13" x14ac:dyDescent="0.15">
      <c r="A209" s="10"/>
      <c r="B209" s="10"/>
      <c r="C209" s="10"/>
    </row>
    <row r="210" spans="1:3" ht="13" x14ac:dyDescent="0.15">
      <c r="A210" s="10"/>
      <c r="B210" s="10"/>
      <c r="C210" s="10"/>
    </row>
    <row r="211" spans="1:3" ht="13" x14ac:dyDescent="0.15">
      <c r="A211" s="10"/>
      <c r="B211" s="10"/>
      <c r="C211" s="10"/>
    </row>
    <row r="212" spans="1:3" ht="13" x14ac:dyDescent="0.15">
      <c r="A212" s="10"/>
      <c r="B212" s="10"/>
      <c r="C212" s="10"/>
    </row>
    <row r="213" spans="1:3" ht="13" x14ac:dyDescent="0.15">
      <c r="A213" s="10"/>
      <c r="B213" s="10"/>
      <c r="C213" s="10"/>
    </row>
    <row r="214" spans="1:3" ht="13" x14ac:dyDescent="0.15">
      <c r="A214" s="10"/>
      <c r="B214" s="10"/>
      <c r="C214" s="10"/>
    </row>
    <row r="215" spans="1:3" ht="13" x14ac:dyDescent="0.15">
      <c r="A215" s="10"/>
      <c r="B215" s="10"/>
      <c r="C215" s="10"/>
    </row>
    <row r="216" spans="1:3" ht="13" x14ac:dyDescent="0.15">
      <c r="A216" s="10"/>
      <c r="B216" s="10"/>
      <c r="C216" s="10"/>
    </row>
    <row r="217" spans="1:3" ht="13" x14ac:dyDescent="0.15">
      <c r="A217" s="10"/>
      <c r="B217" s="10"/>
      <c r="C217" s="10"/>
    </row>
    <row r="218" spans="1:3" ht="13" x14ac:dyDescent="0.15">
      <c r="A218" s="10"/>
      <c r="B218" s="10"/>
      <c r="C218" s="10"/>
    </row>
    <row r="219" spans="1:3" ht="13" x14ac:dyDescent="0.15">
      <c r="A219" s="10"/>
      <c r="B219" s="10"/>
      <c r="C219" s="10"/>
    </row>
    <row r="220" spans="1:3" ht="13" x14ac:dyDescent="0.15">
      <c r="A220" s="10"/>
      <c r="B220" s="10"/>
      <c r="C220" s="10"/>
    </row>
    <row r="221" spans="1:3" ht="13" x14ac:dyDescent="0.15">
      <c r="A221" s="10"/>
      <c r="B221" s="10"/>
      <c r="C221" s="10"/>
    </row>
    <row r="222" spans="1:3" ht="13" x14ac:dyDescent="0.15">
      <c r="A222" s="10"/>
      <c r="B222" s="10"/>
      <c r="C222" s="10"/>
    </row>
    <row r="223" spans="1:3" ht="13" x14ac:dyDescent="0.15">
      <c r="A223" s="10"/>
      <c r="B223" s="10"/>
      <c r="C223" s="10"/>
    </row>
    <row r="224" spans="1:3" ht="13" x14ac:dyDescent="0.15">
      <c r="A224" s="10"/>
      <c r="B224" s="10"/>
      <c r="C224" s="10"/>
    </row>
    <row r="225" spans="1:3" ht="13" x14ac:dyDescent="0.15">
      <c r="A225" s="10"/>
      <c r="B225" s="10"/>
      <c r="C225" s="10"/>
    </row>
    <row r="226" spans="1:3" ht="13" x14ac:dyDescent="0.15">
      <c r="A226" s="10"/>
      <c r="B226" s="10"/>
      <c r="C226" s="10"/>
    </row>
    <row r="227" spans="1:3" ht="13" x14ac:dyDescent="0.15">
      <c r="A227" s="10"/>
      <c r="B227" s="10"/>
      <c r="C227" s="10"/>
    </row>
    <row r="228" spans="1:3" ht="13" x14ac:dyDescent="0.15">
      <c r="A228" s="10"/>
      <c r="B228" s="10"/>
      <c r="C228" s="10"/>
    </row>
    <row r="229" spans="1:3" ht="13" x14ac:dyDescent="0.15">
      <c r="A229" s="10"/>
      <c r="B229" s="10"/>
      <c r="C229" s="10"/>
    </row>
    <row r="230" spans="1:3" ht="13" x14ac:dyDescent="0.15">
      <c r="A230" s="10"/>
      <c r="B230" s="10"/>
      <c r="C230" s="10"/>
    </row>
    <row r="231" spans="1:3" ht="13" x14ac:dyDescent="0.15">
      <c r="A231" s="10"/>
      <c r="B231" s="10"/>
      <c r="C231" s="10"/>
    </row>
    <row r="232" spans="1:3" ht="13" x14ac:dyDescent="0.15">
      <c r="A232" s="10"/>
      <c r="B232" s="10"/>
      <c r="C232" s="10"/>
    </row>
    <row r="233" spans="1:3" ht="13" x14ac:dyDescent="0.15">
      <c r="A233" s="10"/>
      <c r="B233" s="10"/>
      <c r="C233" s="10"/>
    </row>
    <row r="234" spans="1:3" ht="13" x14ac:dyDescent="0.15">
      <c r="A234" s="10"/>
      <c r="B234" s="10"/>
      <c r="C234" s="10"/>
    </row>
    <row r="235" spans="1:3" ht="13" x14ac:dyDescent="0.15">
      <c r="A235" s="10"/>
      <c r="B235" s="10"/>
      <c r="C235" s="10"/>
    </row>
    <row r="236" spans="1:3" ht="13" x14ac:dyDescent="0.15">
      <c r="A236" s="10"/>
      <c r="B236" s="10"/>
      <c r="C236" s="10"/>
    </row>
    <row r="237" spans="1:3" ht="13" x14ac:dyDescent="0.15">
      <c r="A237" s="10"/>
      <c r="B237" s="10"/>
      <c r="C237" s="10"/>
    </row>
    <row r="238" spans="1:3" ht="13" x14ac:dyDescent="0.15">
      <c r="A238" s="10"/>
      <c r="B238" s="10"/>
      <c r="C238" s="10"/>
    </row>
    <row r="239" spans="1:3" ht="13" x14ac:dyDescent="0.15">
      <c r="A239" s="10"/>
      <c r="B239" s="10"/>
      <c r="C239" s="10"/>
    </row>
    <row r="240" spans="1:3" ht="13" x14ac:dyDescent="0.15">
      <c r="A240" s="10"/>
      <c r="B240" s="10"/>
      <c r="C240" s="10"/>
    </row>
    <row r="241" spans="1:3" ht="13" x14ac:dyDescent="0.15">
      <c r="A241" s="10"/>
      <c r="B241" s="10"/>
      <c r="C241" s="10"/>
    </row>
    <row r="242" spans="1:3" ht="13" x14ac:dyDescent="0.15">
      <c r="A242" s="10"/>
      <c r="B242" s="10"/>
      <c r="C242" s="10"/>
    </row>
    <row r="243" spans="1:3" ht="13" x14ac:dyDescent="0.15">
      <c r="A243" s="10"/>
      <c r="B243" s="10"/>
      <c r="C243" s="10"/>
    </row>
    <row r="244" spans="1:3" ht="13" x14ac:dyDescent="0.15">
      <c r="A244" s="10"/>
      <c r="B244" s="10"/>
      <c r="C244" s="10"/>
    </row>
    <row r="245" spans="1:3" ht="13" x14ac:dyDescent="0.15">
      <c r="A245" s="10"/>
      <c r="B245" s="10"/>
      <c r="C245" s="10"/>
    </row>
    <row r="246" spans="1:3" ht="13" x14ac:dyDescent="0.15">
      <c r="A246" s="10"/>
      <c r="B246" s="10"/>
      <c r="C246" s="10"/>
    </row>
    <row r="247" spans="1:3" ht="13" x14ac:dyDescent="0.15">
      <c r="A247" s="10"/>
      <c r="B247" s="10"/>
      <c r="C247" s="10"/>
    </row>
    <row r="248" spans="1:3" ht="13" x14ac:dyDescent="0.15">
      <c r="A248" s="10"/>
      <c r="B248" s="10"/>
      <c r="C248" s="10"/>
    </row>
    <row r="249" spans="1:3" ht="13" x14ac:dyDescent="0.15">
      <c r="A249" s="10"/>
      <c r="B249" s="10"/>
      <c r="C249" s="10"/>
    </row>
    <row r="250" spans="1:3" ht="13" x14ac:dyDescent="0.15">
      <c r="A250" s="10"/>
      <c r="B250" s="10"/>
      <c r="C250" s="10"/>
    </row>
    <row r="251" spans="1:3" ht="13" x14ac:dyDescent="0.15">
      <c r="A251" s="10"/>
      <c r="B251" s="10"/>
      <c r="C251" s="10"/>
    </row>
    <row r="252" spans="1:3" ht="13" x14ac:dyDescent="0.15">
      <c r="A252" s="10"/>
      <c r="B252" s="10"/>
      <c r="C252" s="10"/>
    </row>
    <row r="253" spans="1:3" ht="13" x14ac:dyDescent="0.15">
      <c r="A253" s="10"/>
      <c r="B253" s="10"/>
      <c r="C253" s="10"/>
    </row>
    <row r="254" spans="1:3" ht="13" x14ac:dyDescent="0.15">
      <c r="A254" s="10"/>
      <c r="B254" s="10"/>
      <c r="C254" s="10"/>
    </row>
    <row r="255" spans="1:3" ht="13" x14ac:dyDescent="0.15">
      <c r="A255" s="10"/>
      <c r="B255" s="10"/>
      <c r="C255" s="10"/>
    </row>
    <row r="256" spans="1:3" ht="13" x14ac:dyDescent="0.15">
      <c r="A256" s="10"/>
      <c r="B256" s="10"/>
      <c r="C256" s="10"/>
    </row>
    <row r="257" spans="1:3" ht="13" x14ac:dyDescent="0.15">
      <c r="A257" s="10"/>
      <c r="B257" s="10"/>
      <c r="C257" s="10"/>
    </row>
    <row r="258" spans="1:3" ht="13" x14ac:dyDescent="0.15">
      <c r="A258" s="10"/>
      <c r="B258" s="10"/>
      <c r="C258" s="10"/>
    </row>
    <row r="259" spans="1:3" ht="13" x14ac:dyDescent="0.15">
      <c r="A259" s="10"/>
      <c r="B259" s="10"/>
      <c r="C259" s="10"/>
    </row>
    <row r="260" spans="1:3" ht="13" x14ac:dyDescent="0.15">
      <c r="A260" s="10"/>
      <c r="B260" s="10"/>
      <c r="C260" s="10"/>
    </row>
    <row r="261" spans="1:3" ht="13" x14ac:dyDescent="0.15">
      <c r="A261" s="10"/>
      <c r="B261" s="10"/>
      <c r="C261" s="10"/>
    </row>
    <row r="262" spans="1:3" ht="13" x14ac:dyDescent="0.15">
      <c r="A262" s="10"/>
      <c r="B262" s="10"/>
      <c r="C262" s="10"/>
    </row>
    <row r="263" spans="1:3" ht="13" x14ac:dyDescent="0.15">
      <c r="A263" s="10"/>
      <c r="B263" s="10"/>
      <c r="C263" s="10"/>
    </row>
    <row r="264" spans="1:3" ht="13" x14ac:dyDescent="0.15">
      <c r="A264" s="10"/>
      <c r="B264" s="10"/>
      <c r="C264" s="10"/>
    </row>
    <row r="265" spans="1:3" ht="13" x14ac:dyDescent="0.15">
      <c r="A265" s="10"/>
      <c r="B265" s="10"/>
      <c r="C265" s="10"/>
    </row>
    <row r="266" spans="1:3" ht="13" x14ac:dyDescent="0.15">
      <c r="A266" s="10"/>
      <c r="B266" s="10"/>
      <c r="C266" s="10"/>
    </row>
    <row r="267" spans="1:3" ht="13" x14ac:dyDescent="0.15">
      <c r="A267" s="10"/>
      <c r="B267" s="10"/>
      <c r="C267" s="10"/>
    </row>
    <row r="268" spans="1:3" ht="13" x14ac:dyDescent="0.15">
      <c r="A268" s="10"/>
      <c r="B268" s="10"/>
      <c r="C268" s="10"/>
    </row>
    <row r="269" spans="1:3" ht="13" x14ac:dyDescent="0.15">
      <c r="A269" s="10"/>
      <c r="B269" s="10"/>
      <c r="C269" s="10"/>
    </row>
    <row r="270" spans="1:3" ht="13" x14ac:dyDescent="0.15">
      <c r="A270" s="10"/>
      <c r="B270" s="10"/>
      <c r="C270" s="10"/>
    </row>
    <row r="271" spans="1:3" ht="13" x14ac:dyDescent="0.15">
      <c r="A271" s="10"/>
      <c r="B271" s="10"/>
      <c r="C271" s="10"/>
    </row>
    <row r="272" spans="1:3" ht="13" x14ac:dyDescent="0.15">
      <c r="A272" s="10"/>
      <c r="B272" s="10"/>
      <c r="C272" s="10"/>
    </row>
    <row r="273" spans="1:3" ht="13" x14ac:dyDescent="0.15">
      <c r="A273" s="10"/>
      <c r="B273" s="10"/>
      <c r="C273" s="10"/>
    </row>
    <row r="274" spans="1:3" ht="13" x14ac:dyDescent="0.15">
      <c r="A274" s="10"/>
      <c r="B274" s="10"/>
      <c r="C274" s="10"/>
    </row>
    <row r="275" spans="1:3" ht="13" x14ac:dyDescent="0.15">
      <c r="A275" s="10"/>
      <c r="B275" s="10"/>
      <c r="C275" s="10"/>
    </row>
    <row r="276" spans="1:3" ht="13" x14ac:dyDescent="0.15">
      <c r="A276" s="10"/>
      <c r="B276" s="10"/>
      <c r="C276" s="10"/>
    </row>
    <row r="277" spans="1:3" ht="13" x14ac:dyDescent="0.15">
      <c r="A277" s="10"/>
      <c r="B277" s="10"/>
      <c r="C277" s="10"/>
    </row>
    <row r="278" spans="1:3" ht="13" x14ac:dyDescent="0.15">
      <c r="A278" s="10"/>
      <c r="B278" s="10"/>
      <c r="C278" s="10"/>
    </row>
    <row r="279" spans="1:3" ht="13" x14ac:dyDescent="0.15">
      <c r="A279" s="10"/>
      <c r="B279" s="10"/>
      <c r="C279" s="10"/>
    </row>
    <row r="280" spans="1:3" ht="13" x14ac:dyDescent="0.15">
      <c r="A280" s="10"/>
      <c r="B280" s="10"/>
      <c r="C280" s="10"/>
    </row>
    <row r="281" spans="1:3" ht="13" x14ac:dyDescent="0.15">
      <c r="A281" s="10"/>
      <c r="B281" s="10"/>
      <c r="C281" s="10"/>
    </row>
    <row r="282" spans="1:3" ht="13" x14ac:dyDescent="0.15">
      <c r="A282" s="10"/>
      <c r="B282" s="10"/>
      <c r="C282" s="10"/>
    </row>
    <row r="283" spans="1:3" ht="13" x14ac:dyDescent="0.15">
      <c r="A283" s="10"/>
      <c r="B283" s="10"/>
      <c r="C283" s="10"/>
    </row>
    <row r="284" spans="1:3" ht="13" x14ac:dyDescent="0.15">
      <c r="A284" s="10"/>
      <c r="B284" s="10"/>
      <c r="C284" s="10"/>
    </row>
    <row r="285" spans="1:3" ht="13" x14ac:dyDescent="0.15">
      <c r="A285" s="10"/>
      <c r="B285" s="10"/>
      <c r="C285" s="10"/>
    </row>
    <row r="286" spans="1:3" ht="13" x14ac:dyDescent="0.15">
      <c r="A286" s="10"/>
      <c r="B286" s="10"/>
      <c r="C286" s="10"/>
    </row>
    <row r="287" spans="1:3" ht="13" x14ac:dyDescent="0.15">
      <c r="A287" s="10"/>
      <c r="B287" s="10"/>
      <c r="C287" s="10"/>
    </row>
    <row r="288" spans="1:3" ht="13" x14ac:dyDescent="0.15">
      <c r="A288" s="10"/>
      <c r="B288" s="10"/>
      <c r="C288" s="10"/>
    </row>
    <row r="289" spans="1:3" ht="13" x14ac:dyDescent="0.15">
      <c r="A289" s="10"/>
      <c r="B289" s="10"/>
      <c r="C289" s="10"/>
    </row>
    <row r="290" spans="1:3" ht="13" x14ac:dyDescent="0.15">
      <c r="A290" s="10"/>
      <c r="B290" s="10"/>
      <c r="C290" s="10"/>
    </row>
    <row r="291" spans="1:3" ht="13" x14ac:dyDescent="0.15">
      <c r="A291" s="10"/>
      <c r="B291" s="10"/>
      <c r="C291" s="10"/>
    </row>
    <row r="292" spans="1:3" ht="13" x14ac:dyDescent="0.15">
      <c r="A292" s="10"/>
      <c r="B292" s="10"/>
      <c r="C292" s="10"/>
    </row>
    <row r="293" spans="1:3" ht="13" x14ac:dyDescent="0.15">
      <c r="A293" s="10"/>
      <c r="B293" s="10"/>
      <c r="C293" s="10"/>
    </row>
    <row r="294" spans="1:3" ht="13" x14ac:dyDescent="0.15">
      <c r="A294" s="10"/>
      <c r="B294" s="10"/>
      <c r="C294" s="10"/>
    </row>
    <row r="295" spans="1:3" ht="13" x14ac:dyDescent="0.15">
      <c r="A295" s="10"/>
      <c r="B295" s="10"/>
      <c r="C295" s="10"/>
    </row>
    <row r="296" spans="1:3" ht="13" x14ac:dyDescent="0.15">
      <c r="A296" s="10"/>
      <c r="B296" s="10"/>
      <c r="C296" s="10"/>
    </row>
    <row r="297" spans="1:3" ht="13" x14ac:dyDescent="0.15">
      <c r="A297" s="10"/>
      <c r="B297" s="10"/>
      <c r="C297" s="10"/>
    </row>
    <row r="298" spans="1:3" ht="13" x14ac:dyDescent="0.15">
      <c r="A298" s="10"/>
      <c r="B298" s="10"/>
      <c r="C298" s="10"/>
    </row>
    <row r="299" spans="1:3" ht="13" x14ac:dyDescent="0.15">
      <c r="A299" s="10"/>
      <c r="B299" s="10"/>
      <c r="C299" s="10"/>
    </row>
    <row r="300" spans="1:3" ht="13" x14ac:dyDescent="0.15">
      <c r="A300" s="10"/>
      <c r="B300" s="10"/>
      <c r="C300" s="10"/>
    </row>
    <row r="301" spans="1:3" ht="13" x14ac:dyDescent="0.15">
      <c r="A301" s="10"/>
      <c r="B301" s="10"/>
      <c r="C301" s="10"/>
    </row>
    <row r="302" spans="1:3" ht="13" x14ac:dyDescent="0.15">
      <c r="A302" s="10"/>
      <c r="B302" s="10"/>
      <c r="C302" s="10"/>
    </row>
    <row r="303" spans="1:3" ht="13" x14ac:dyDescent="0.15">
      <c r="A303" s="10"/>
      <c r="B303" s="10"/>
      <c r="C303" s="10"/>
    </row>
    <row r="304" spans="1:3" ht="13" x14ac:dyDescent="0.15">
      <c r="A304" s="10"/>
      <c r="B304" s="10"/>
      <c r="C304" s="10"/>
    </row>
    <row r="305" spans="1:3" ht="13" x14ac:dyDescent="0.15">
      <c r="A305" s="10"/>
      <c r="B305" s="10"/>
      <c r="C305" s="10"/>
    </row>
    <row r="306" spans="1:3" ht="13" x14ac:dyDescent="0.15">
      <c r="A306" s="10"/>
      <c r="B306" s="10"/>
      <c r="C306" s="10"/>
    </row>
    <row r="307" spans="1:3" ht="13" x14ac:dyDescent="0.15">
      <c r="A307" s="10"/>
      <c r="B307" s="10"/>
      <c r="C307" s="10"/>
    </row>
    <row r="308" spans="1:3" ht="13" x14ac:dyDescent="0.15">
      <c r="A308" s="10"/>
      <c r="B308" s="10"/>
      <c r="C308" s="10"/>
    </row>
    <row r="309" spans="1:3" ht="13" x14ac:dyDescent="0.15">
      <c r="A309" s="10"/>
      <c r="B309" s="10"/>
      <c r="C309" s="10"/>
    </row>
    <row r="310" spans="1:3" ht="13" x14ac:dyDescent="0.15">
      <c r="A310" s="10"/>
      <c r="B310" s="10"/>
      <c r="C310" s="10"/>
    </row>
    <row r="311" spans="1:3" ht="13" x14ac:dyDescent="0.15">
      <c r="A311" s="10"/>
      <c r="B311" s="10"/>
      <c r="C311" s="10"/>
    </row>
    <row r="312" spans="1:3" ht="13" x14ac:dyDescent="0.15">
      <c r="A312" s="10"/>
      <c r="B312" s="10"/>
      <c r="C312" s="10"/>
    </row>
    <row r="313" spans="1:3" ht="13" x14ac:dyDescent="0.15">
      <c r="A313" s="10"/>
      <c r="B313" s="10"/>
      <c r="C313" s="10"/>
    </row>
    <row r="314" spans="1:3" ht="13" x14ac:dyDescent="0.15">
      <c r="A314" s="10"/>
      <c r="B314" s="10"/>
      <c r="C314" s="10"/>
    </row>
    <row r="315" spans="1:3" ht="13" x14ac:dyDescent="0.15">
      <c r="A315" s="10"/>
      <c r="B315" s="10"/>
      <c r="C315" s="10"/>
    </row>
    <row r="316" spans="1:3" ht="13" x14ac:dyDescent="0.15">
      <c r="A316" s="10"/>
      <c r="B316" s="10"/>
      <c r="C316" s="10"/>
    </row>
    <row r="317" spans="1:3" ht="13" x14ac:dyDescent="0.15">
      <c r="A317" s="10"/>
      <c r="B317" s="10"/>
      <c r="C317" s="10"/>
    </row>
    <row r="318" spans="1:3" ht="13" x14ac:dyDescent="0.15">
      <c r="A318" s="10"/>
      <c r="B318" s="10"/>
      <c r="C318" s="10"/>
    </row>
    <row r="319" spans="1:3" ht="13" x14ac:dyDescent="0.15">
      <c r="A319" s="10"/>
      <c r="B319" s="10"/>
      <c r="C319" s="10"/>
    </row>
    <row r="320" spans="1:3" ht="13" x14ac:dyDescent="0.15">
      <c r="A320" s="10"/>
      <c r="B320" s="10"/>
      <c r="C320" s="10"/>
    </row>
    <row r="321" spans="1:3" ht="13" x14ac:dyDescent="0.15">
      <c r="A321" s="10"/>
      <c r="B321" s="10"/>
      <c r="C321" s="10"/>
    </row>
    <row r="322" spans="1:3" ht="13" x14ac:dyDescent="0.15">
      <c r="A322" s="10"/>
      <c r="B322" s="10"/>
      <c r="C322" s="10"/>
    </row>
    <row r="323" spans="1:3" ht="13" x14ac:dyDescent="0.15">
      <c r="A323" s="10"/>
      <c r="B323" s="10"/>
      <c r="C323" s="10"/>
    </row>
    <row r="324" spans="1:3" ht="13" x14ac:dyDescent="0.15">
      <c r="A324" s="10"/>
      <c r="B324" s="10"/>
      <c r="C324" s="10"/>
    </row>
    <row r="325" spans="1:3" ht="13" x14ac:dyDescent="0.15">
      <c r="A325" s="10"/>
      <c r="B325" s="10"/>
      <c r="C325" s="10"/>
    </row>
    <row r="326" spans="1:3" ht="13" x14ac:dyDescent="0.15">
      <c r="A326" s="10"/>
      <c r="B326" s="10"/>
      <c r="C326" s="10"/>
    </row>
    <row r="327" spans="1:3" ht="13" x14ac:dyDescent="0.15">
      <c r="A327" s="10"/>
      <c r="B327" s="10"/>
      <c r="C327" s="10"/>
    </row>
    <row r="328" spans="1:3" ht="13" x14ac:dyDescent="0.15">
      <c r="A328" s="10"/>
      <c r="B328" s="10"/>
      <c r="C328" s="10"/>
    </row>
    <row r="329" spans="1:3" ht="13" x14ac:dyDescent="0.15">
      <c r="A329" s="10"/>
      <c r="B329" s="10"/>
      <c r="C329" s="10"/>
    </row>
    <row r="330" spans="1:3" ht="13" x14ac:dyDescent="0.15">
      <c r="A330" s="10"/>
      <c r="B330" s="10"/>
      <c r="C330" s="10"/>
    </row>
    <row r="331" spans="1:3" ht="13" x14ac:dyDescent="0.15">
      <c r="A331" s="10"/>
      <c r="B331" s="10"/>
      <c r="C331" s="10"/>
    </row>
    <row r="332" spans="1:3" ht="13" x14ac:dyDescent="0.15">
      <c r="A332" s="10"/>
      <c r="B332" s="10"/>
      <c r="C332" s="10"/>
    </row>
    <row r="333" spans="1:3" ht="13" x14ac:dyDescent="0.15">
      <c r="A333" s="10"/>
      <c r="B333" s="10"/>
      <c r="C333" s="10"/>
    </row>
    <row r="334" spans="1:3" ht="13" x14ac:dyDescent="0.15">
      <c r="A334" s="10"/>
      <c r="B334" s="10"/>
      <c r="C334" s="10"/>
    </row>
    <row r="335" spans="1:3" ht="13" x14ac:dyDescent="0.15">
      <c r="A335" s="10"/>
      <c r="B335" s="10"/>
      <c r="C335" s="10"/>
    </row>
    <row r="336" spans="1:3" ht="13" x14ac:dyDescent="0.15">
      <c r="A336" s="10"/>
      <c r="B336" s="10"/>
      <c r="C336" s="10"/>
    </row>
    <row r="337" spans="1:3" ht="13" x14ac:dyDescent="0.15">
      <c r="A337" s="10"/>
      <c r="B337" s="10"/>
      <c r="C337" s="10"/>
    </row>
    <row r="338" spans="1:3" ht="13" x14ac:dyDescent="0.15">
      <c r="A338" s="10"/>
      <c r="B338" s="10"/>
      <c r="C338" s="10"/>
    </row>
    <row r="339" spans="1:3" ht="13" x14ac:dyDescent="0.15">
      <c r="A339" s="10"/>
      <c r="B339" s="10"/>
      <c r="C339" s="10"/>
    </row>
    <row r="340" spans="1:3" ht="13" x14ac:dyDescent="0.15">
      <c r="A340" s="10"/>
      <c r="B340" s="10"/>
      <c r="C340" s="10"/>
    </row>
    <row r="341" spans="1:3" ht="13" x14ac:dyDescent="0.15">
      <c r="A341" s="10"/>
      <c r="B341" s="10"/>
      <c r="C341" s="10"/>
    </row>
    <row r="342" spans="1:3" ht="13" x14ac:dyDescent="0.15">
      <c r="A342" s="10"/>
      <c r="B342" s="10"/>
      <c r="C342" s="10"/>
    </row>
    <row r="343" spans="1:3" ht="13" x14ac:dyDescent="0.15">
      <c r="A343" s="10"/>
      <c r="B343" s="10"/>
      <c r="C343" s="10"/>
    </row>
    <row r="344" spans="1:3" ht="13" x14ac:dyDescent="0.15">
      <c r="A344" s="10"/>
      <c r="B344" s="10"/>
      <c r="C344" s="10"/>
    </row>
    <row r="345" spans="1:3" ht="13" x14ac:dyDescent="0.15">
      <c r="A345" s="10"/>
      <c r="B345" s="10"/>
      <c r="C345" s="10"/>
    </row>
    <row r="346" spans="1:3" ht="13" x14ac:dyDescent="0.15">
      <c r="A346" s="10"/>
      <c r="B346" s="10"/>
      <c r="C346" s="10"/>
    </row>
    <row r="347" spans="1:3" ht="13" x14ac:dyDescent="0.15">
      <c r="A347" s="10"/>
      <c r="B347" s="10"/>
      <c r="C347" s="10"/>
    </row>
    <row r="348" spans="1:3" ht="13" x14ac:dyDescent="0.15">
      <c r="A348" s="10"/>
      <c r="B348" s="10"/>
      <c r="C348" s="10"/>
    </row>
    <row r="349" spans="1:3" ht="13" x14ac:dyDescent="0.15">
      <c r="A349" s="10"/>
      <c r="B349" s="10"/>
      <c r="C349" s="10"/>
    </row>
    <row r="350" spans="1:3" ht="13" x14ac:dyDescent="0.15">
      <c r="A350" s="10"/>
      <c r="B350" s="10"/>
      <c r="C350" s="10"/>
    </row>
    <row r="351" spans="1:3" ht="13" x14ac:dyDescent="0.15">
      <c r="A351" s="10"/>
      <c r="B351" s="10"/>
      <c r="C351" s="10"/>
    </row>
    <row r="352" spans="1:3" ht="13" x14ac:dyDescent="0.15">
      <c r="A352" s="10"/>
      <c r="B352" s="10"/>
      <c r="C352" s="10"/>
    </row>
    <row r="353" spans="1:3" ht="13" x14ac:dyDescent="0.15">
      <c r="A353" s="10"/>
      <c r="B353" s="10"/>
      <c r="C353" s="10"/>
    </row>
    <row r="354" spans="1:3" ht="13" x14ac:dyDescent="0.15">
      <c r="A354" s="10"/>
      <c r="B354" s="10"/>
      <c r="C354" s="10"/>
    </row>
    <row r="355" spans="1:3" ht="13" x14ac:dyDescent="0.15">
      <c r="A355" s="10"/>
      <c r="B355" s="10"/>
      <c r="C355" s="10"/>
    </row>
    <row r="356" spans="1:3" ht="13" x14ac:dyDescent="0.15">
      <c r="A356" s="10"/>
      <c r="B356" s="10"/>
      <c r="C356" s="10"/>
    </row>
    <row r="357" spans="1:3" ht="13" x14ac:dyDescent="0.15">
      <c r="A357" s="10"/>
      <c r="B357" s="10"/>
      <c r="C357" s="10"/>
    </row>
    <row r="358" spans="1:3" ht="13" x14ac:dyDescent="0.15">
      <c r="A358" s="10"/>
      <c r="B358" s="10"/>
      <c r="C358" s="10"/>
    </row>
    <row r="359" spans="1:3" ht="13" x14ac:dyDescent="0.15">
      <c r="A359" s="10"/>
      <c r="B359" s="10"/>
      <c r="C359" s="10"/>
    </row>
    <row r="360" spans="1:3" ht="13" x14ac:dyDescent="0.15">
      <c r="A360" s="10"/>
      <c r="B360" s="10"/>
      <c r="C360" s="10"/>
    </row>
    <row r="361" spans="1:3" ht="13" x14ac:dyDescent="0.15">
      <c r="A361" s="10"/>
      <c r="B361" s="10"/>
      <c r="C361" s="10"/>
    </row>
    <row r="362" spans="1:3" ht="13" x14ac:dyDescent="0.15">
      <c r="A362" s="10"/>
      <c r="B362" s="10"/>
      <c r="C362" s="10"/>
    </row>
    <row r="363" spans="1:3" ht="13" x14ac:dyDescent="0.15">
      <c r="A363" s="10"/>
      <c r="B363" s="10"/>
      <c r="C363" s="10"/>
    </row>
    <row r="364" spans="1:3" ht="13" x14ac:dyDescent="0.15">
      <c r="A364" s="10"/>
      <c r="B364" s="10"/>
      <c r="C364" s="10"/>
    </row>
    <row r="365" spans="1:3" ht="13" x14ac:dyDescent="0.15">
      <c r="A365" s="10"/>
      <c r="B365" s="10"/>
      <c r="C365" s="10"/>
    </row>
    <row r="366" spans="1:3" ht="13" x14ac:dyDescent="0.15">
      <c r="A366" s="10"/>
      <c r="B366" s="10"/>
      <c r="C366" s="10"/>
    </row>
    <row r="367" spans="1:3" ht="13" x14ac:dyDescent="0.15">
      <c r="A367" s="10"/>
      <c r="B367" s="10"/>
      <c r="C367" s="10"/>
    </row>
    <row r="368" spans="1:3" ht="13" x14ac:dyDescent="0.15">
      <c r="A368" s="10"/>
      <c r="B368" s="10"/>
      <c r="C368" s="10"/>
    </row>
    <row r="369" spans="1:3" ht="13" x14ac:dyDescent="0.15">
      <c r="A369" s="10"/>
      <c r="B369" s="10"/>
      <c r="C369" s="10"/>
    </row>
    <row r="370" spans="1:3" ht="13" x14ac:dyDescent="0.15">
      <c r="A370" s="10"/>
      <c r="B370" s="10"/>
      <c r="C370" s="10"/>
    </row>
    <row r="371" spans="1:3" ht="13" x14ac:dyDescent="0.15">
      <c r="A371" s="10"/>
      <c r="B371" s="10"/>
      <c r="C371" s="10"/>
    </row>
    <row r="372" spans="1:3" ht="13" x14ac:dyDescent="0.15">
      <c r="A372" s="10"/>
      <c r="B372" s="10"/>
      <c r="C372" s="10"/>
    </row>
    <row r="373" spans="1:3" ht="13" x14ac:dyDescent="0.15">
      <c r="A373" s="10"/>
      <c r="B373" s="10"/>
      <c r="C373" s="10"/>
    </row>
    <row r="374" spans="1:3" ht="13" x14ac:dyDescent="0.15">
      <c r="A374" s="10"/>
      <c r="B374" s="10"/>
      <c r="C374" s="10"/>
    </row>
    <row r="375" spans="1:3" ht="13" x14ac:dyDescent="0.15">
      <c r="A375" s="10"/>
      <c r="B375" s="10"/>
      <c r="C375" s="10"/>
    </row>
    <row r="376" spans="1:3" ht="13" x14ac:dyDescent="0.15">
      <c r="A376" s="10"/>
      <c r="B376" s="10"/>
      <c r="C376" s="10"/>
    </row>
    <row r="377" spans="1:3" ht="13" x14ac:dyDescent="0.15">
      <c r="A377" s="10"/>
      <c r="B377" s="10"/>
      <c r="C377" s="10"/>
    </row>
    <row r="378" spans="1:3" ht="13" x14ac:dyDescent="0.15">
      <c r="A378" s="10"/>
      <c r="B378" s="10"/>
      <c r="C378" s="10"/>
    </row>
    <row r="379" spans="1:3" ht="13" x14ac:dyDescent="0.15">
      <c r="A379" s="10"/>
      <c r="B379" s="10"/>
      <c r="C379" s="10"/>
    </row>
    <row r="380" spans="1:3" ht="13" x14ac:dyDescent="0.15">
      <c r="A380" s="10"/>
      <c r="B380" s="10"/>
      <c r="C380" s="10"/>
    </row>
    <row r="381" spans="1:3" ht="13" x14ac:dyDescent="0.15">
      <c r="A381" s="10"/>
      <c r="B381" s="10"/>
      <c r="C381" s="10"/>
    </row>
    <row r="382" spans="1:3" ht="13" x14ac:dyDescent="0.15">
      <c r="A382" s="10"/>
      <c r="B382" s="10"/>
      <c r="C382" s="10"/>
    </row>
    <row r="383" spans="1:3" ht="13" x14ac:dyDescent="0.15">
      <c r="A383" s="10"/>
      <c r="B383" s="10"/>
      <c r="C383" s="10"/>
    </row>
    <row r="384" spans="1:3" ht="13" x14ac:dyDescent="0.15">
      <c r="A384" s="10"/>
      <c r="B384" s="10"/>
      <c r="C384" s="10"/>
    </row>
    <row r="385" spans="1:3" ht="13" x14ac:dyDescent="0.15">
      <c r="A385" s="10"/>
      <c r="B385" s="10"/>
      <c r="C385" s="10"/>
    </row>
    <row r="386" spans="1:3" ht="13" x14ac:dyDescent="0.15">
      <c r="A386" s="10"/>
      <c r="B386" s="10"/>
      <c r="C386" s="10"/>
    </row>
    <row r="387" spans="1:3" ht="13" x14ac:dyDescent="0.15">
      <c r="A387" s="10"/>
      <c r="B387" s="10"/>
      <c r="C387" s="10"/>
    </row>
    <row r="388" spans="1:3" ht="13" x14ac:dyDescent="0.15">
      <c r="A388" s="10"/>
      <c r="B388" s="10"/>
      <c r="C388" s="10"/>
    </row>
    <row r="389" spans="1:3" ht="13" x14ac:dyDescent="0.15">
      <c r="A389" s="10"/>
      <c r="B389" s="10"/>
      <c r="C389" s="10"/>
    </row>
    <row r="390" spans="1:3" ht="13" x14ac:dyDescent="0.15">
      <c r="A390" s="10"/>
      <c r="B390" s="10"/>
      <c r="C390" s="10"/>
    </row>
    <row r="391" spans="1:3" ht="13" x14ac:dyDescent="0.15">
      <c r="A391" s="10"/>
      <c r="B391" s="10"/>
      <c r="C391" s="10"/>
    </row>
    <row r="392" spans="1:3" ht="13" x14ac:dyDescent="0.15">
      <c r="A392" s="10"/>
      <c r="B392" s="10"/>
      <c r="C392" s="10"/>
    </row>
    <row r="393" spans="1:3" ht="13" x14ac:dyDescent="0.15">
      <c r="A393" s="10"/>
      <c r="B393" s="10"/>
      <c r="C393" s="10"/>
    </row>
    <row r="394" spans="1:3" ht="13" x14ac:dyDescent="0.15">
      <c r="A394" s="10"/>
      <c r="B394" s="10"/>
      <c r="C394" s="10"/>
    </row>
    <row r="395" spans="1:3" ht="13" x14ac:dyDescent="0.15">
      <c r="A395" s="10"/>
      <c r="B395" s="10"/>
      <c r="C395" s="10"/>
    </row>
    <row r="396" spans="1:3" ht="13" x14ac:dyDescent="0.15">
      <c r="A396" s="10"/>
      <c r="B396" s="10"/>
      <c r="C396" s="10"/>
    </row>
    <row r="397" spans="1:3" ht="13" x14ac:dyDescent="0.15">
      <c r="A397" s="10"/>
      <c r="B397" s="10"/>
      <c r="C397" s="10"/>
    </row>
    <row r="398" spans="1:3" ht="13" x14ac:dyDescent="0.15">
      <c r="A398" s="10"/>
      <c r="B398" s="10"/>
      <c r="C398" s="10"/>
    </row>
    <row r="399" spans="1:3" ht="13" x14ac:dyDescent="0.15">
      <c r="A399" s="10"/>
      <c r="B399" s="10"/>
      <c r="C399" s="10"/>
    </row>
    <row r="400" spans="1:3" ht="13" x14ac:dyDescent="0.15">
      <c r="A400" s="10"/>
      <c r="B400" s="10"/>
      <c r="C400" s="10"/>
    </row>
    <row r="401" spans="1:3" ht="13" x14ac:dyDescent="0.15">
      <c r="A401" s="10"/>
      <c r="B401" s="10"/>
      <c r="C401" s="10"/>
    </row>
    <row r="402" spans="1:3" ht="13" x14ac:dyDescent="0.15">
      <c r="A402" s="10"/>
      <c r="B402" s="10"/>
      <c r="C402" s="10"/>
    </row>
    <row r="403" spans="1:3" ht="13" x14ac:dyDescent="0.15">
      <c r="A403" s="10"/>
      <c r="B403" s="10"/>
      <c r="C403" s="10"/>
    </row>
    <row r="404" spans="1:3" ht="13" x14ac:dyDescent="0.15">
      <c r="A404" s="10"/>
      <c r="B404" s="10"/>
      <c r="C404" s="10"/>
    </row>
    <row r="405" spans="1:3" ht="13" x14ac:dyDescent="0.15">
      <c r="A405" s="10"/>
      <c r="B405" s="10"/>
      <c r="C405" s="10"/>
    </row>
    <row r="406" spans="1:3" ht="13" x14ac:dyDescent="0.15">
      <c r="A406" s="10"/>
      <c r="B406" s="10"/>
      <c r="C406" s="10"/>
    </row>
    <row r="407" spans="1:3" ht="13" x14ac:dyDescent="0.15">
      <c r="A407" s="10"/>
      <c r="B407" s="10"/>
      <c r="C407" s="10"/>
    </row>
    <row r="408" spans="1:3" ht="13" x14ac:dyDescent="0.15">
      <c r="A408" s="10"/>
      <c r="B408" s="10"/>
      <c r="C408" s="10"/>
    </row>
    <row r="409" spans="1:3" ht="13" x14ac:dyDescent="0.15">
      <c r="A409" s="10"/>
      <c r="B409" s="10"/>
      <c r="C409" s="10"/>
    </row>
    <row r="410" spans="1:3" ht="13" x14ac:dyDescent="0.15">
      <c r="A410" s="10"/>
      <c r="B410" s="10"/>
      <c r="C410" s="10"/>
    </row>
    <row r="411" spans="1:3" ht="13" x14ac:dyDescent="0.15">
      <c r="A411" s="10"/>
      <c r="B411" s="10"/>
      <c r="C411" s="10"/>
    </row>
    <row r="412" spans="1:3" ht="13" x14ac:dyDescent="0.15">
      <c r="A412" s="10"/>
      <c r="B412" s="10"/>
      <c r="C412" s="10"/>
    </row>
    <row r="413" spans="1:3" ht="13" x14ac:dyDescent="0.15">
      <c r="A413" s="10"/>
      <c r="B413" s="10"/>
      <c r="C413" s="10"/>
    </row>
    <row r="414" spans="1:3" ht="13" x14ac:dyDescent="0.15">
      <c r="A414" s="10"/>
      <c r="B414" s="10"/>
      <c r="C414" s="10"/>
    </row>
    <row r="415" spans="1:3" ht="13" x14ac:dyDescent="0.15">
      <c r="A415" s="10"/>
      <c r="B415" s="10"/>
      <c r="C415" s="10"/>
    </row>
    <row r="416" spans="1:3" ht="13" x14ac:dyDescent="0.15">
      <c r="A416" s="10"/>
      <c r="B416" s="10"/>
      <c r="C416" s="10"/>
    </row>
    <row r="417" spans="1:3" ht="13" x14ac:dyDescent="0.15">
      <c r="A417" s="10"/>
      <c r="B417" s="10"/>
      <c r="C417" s="10"/>
    </row>
    <row r="418" spans="1:3" ht="13" x14ac:dyDescent="0.15">
      <c r="A418" s="10"/>
      <c r="B418" s="10"/>
      <c r="C418" s="10"/>
    </row>
    <row r="419" spans="1:3" ht="13" x14ac:dyDescent="0.15">
      <c r="A419" s="10"/>
      <c r="B419" s="10"/>
      <c r="C419" s="10"/>
    </row>
    <row r="420" spans="1:3" ht="13" x14ac:dyDescent="0.15">
      <c r="A420" s="10"/>
      <c r="B420" s="10"/>
      <c r="C420" s="10"/>
    </row>
    <row r="421" spans="1:3" ht="13" x14ac:dyDescent="0.15">
      <c r="A421" s="10"/>
      <c r="B421" s="10"/>
      <c r="C421" s="10"/>
    </row>
    <row r="422" spans="1:3" ht="13" x14ac:dyDescent="0.15">
      <c r="A422" s="10"/>
      <c r="B422" s="10"/>
      <c r="C422" s="10"/>
    </row>
    <row r="423" spans="1:3" ht="13" x14ac:dyDescent="0.15">
      <c r="A423" s="10"/>
      <c r="B423" s="10"/>
      <c r="C423" s="10"/>
    </row>
    <row r="424" spans="1:3" ht="13" x14ac:dyDescent="0.15">
      <c r="A424" s="10"/>
      <c r="B424" s="10"/>
      <c r="C424" s="10"/>
    </row>
    <row r="425" spans="1:3" ht="13" x14ac:dyDescent="0.15">
      <c r="A425" s="10"/>
      <c r="B425" s="10"/>
      <c r="C425" s="10"/>
    </row>
    <row r="426" spans="1:3" ht="13" x14ac:dyDescent="0.15">
      <c r="A426" s="10"/>
      <c r="B426" s="10"/>
      <c r="C426" s="10"/>
    </row>
    <row r="427" spans="1:3" ht="13" x14ac:dyDescent="0.15">
      <c r="A427" s="10"/>
      <c r="B427" s="10"/>
      <c r="C427" s="10"/>
    </row>
    <row r="428" spans="1:3" ht="13" x14ac:dyDescent="0.15">
      <c r="A428" s="10"/>
      <c r="B428" s="10"/>
      <c r="C428" s="10"/>
    </row>
    <row r="429" spans="1:3" ht="13" x14ac:dyDescent="0.15">
      <c r="A429" s="10"/>
      <c r="B429" s="10"/>
      <c r="C429" s="10"/>
    </row>
    <row r="430" spans="1:3" ht="13" x14ac:dyDescent="0.15">
      <c r="A430" s="10"/>
      <c r="B430" s="10"/>
      <c r="C430" s="10"/>
    </row>
    <row r="431" spans="1:3" ht="13" x14ac:dyDescent="0.15">
      <c r="A431" s="10"/>
      <c r="B431" s="10"/>
      <c r="C431" s="10"/>
    </row>
    <row r="432" spans="1:3" ht="13" x14ac:dyDescent="0.15">
      <c r="A432" s="10"/>
      <c r="B432" s="10"/>
      <c r="C432" s="10"/>
    </row>
    <row r="433" spans="1:3" ht="13" x14ac:dyDescent="0.15">
      <c r="A433" s="10"/>
      <c r="B433" s="10"/>
      <c r="C433" s="10"/>
    </row>
    <row r="434" spans="1:3" ht="13" x14ac:dyDescent="0.15">
      <c r="A434" s="10"/>
      <c r="B434" s="10"/>
      <c r="C434" s="10"/>
    </row>
    <row r="435" spans="1:3" ht="13" x14ac:dyDescent="0.15">
      <c r="A435" s="10"/>
      <c r="B435" s="10"/>
      <c r="C435" s="10"/>
    </row>
    <row r="436" spans="1:3" ht="13" x14ac:dyDescent="0.15">
      <c r="A436" s="10"/>
      <c r="B436" s="10"/>
      <c r="C436" s="10"/>
    </row>
    <row r="437" spans="1:3" ht="13" x14ac:dyDescent="0.15">
      <c r="A437" s="10"/>
      <c r="B437" s="10"/>
      <c r="C437" s="10"/>
    </row>
    <row r="438" spans="1:3" ht="13" x14ac:dyDescent="0.15">
      <c r="A438" s="10"/>
      <c r="B438" s="10"/>
      <c r="C438" s="10"/>
    </row>
    <row r="439" spans="1:3" ht="13" x14ac:dyDescent="0.15">
      <c r="A439" s="10"/>
      <c r="B439" s="10"/>
      <c r="C439" s="10"/>
    </row>
    <row r="440" spans="1:3" ht="13" x14ac:dyDescent="0.15">
      <c r="A440" s="10"/>
      <c r="B440" s="10"/>
      <c r="C440" s="10"/>
    </row>
    <row r="441" spans="1:3" ht="13" x14ac:dyDescent="0.15">
      <c r="A441" s="10"/>
      <c r="B441" s="10"/>
      <c r="C441" s="10"/>
    </row>
    <row r="442" spans="1:3" ht="13" x14ac:dyDescent="0.15">
      <c r="A442" s="10"/>
      <c r="B442" s="10"/>
      <c r="C442" s="10"/>
    </row>
    <row r="443" spans="1:3" ht="13" x14ac:dyDescent="0.15">
      <c r="A443" s="10"/>
      <c r="B443" s="10"/>
      <c r="C443" s="10"/>
    </row>
    <row r="444" spans="1:3" ht="13" x14ac:dyDescent="0.15">
      <c r="A444" s="10"/>
      <c r="B444" s="10"/>
      <c r="C444" s="10"/>
    </row>
    <row r="445" spans="1:3" ht="13" x14ac:dyDescent="0.15">
      <c r="A445" s="10"/>
      <c r="B445" s="10"/>
      <c r="C445" s="10"/>
    </row>
    <row r="446" spans="1:3" ht="13" x14ac:dyDescent="0.15">
      <c r="A446" s="10"/>
      <c r="B446" s="10"/>
      <c r="C446" s="10"/>
    </row>
    <row r="447" spans="1:3" ht="13" x14ac:dyDescent="0.15">
      <c r="A447" s="10"/>
      <c r="B447" s="10"/>
      <c r="C447" s="10"/>
    </row>
    <row r="448" spans="1:3" ht="13" x14ac:dyDescent="0.15">
      <c r="A448" s="10"/>
      <c r="B448" s="10"/>
      <c r="C448" s="10"/>
    </row>
    <row r="449" spans="1:3" ht="13" x14ac:dyDescent="0.15">
      <c r="A449" s="10"/>
      <c r="B449" s="10"/>
      <c r="C449" s="10"/>
    </row>
    <row r="450" spans="1:3" ht="13" x14ac:dyDescent="0.15">
      <c r="A450" s="10"/>
      <c r="B450" s="10"/>
      <c r="C450" s="10"/>
    </row>
    <row r="451" spans="1:3" ht="13" x14ac:dyDescent="0.15">
      <c r="A451" s="10"/>
      <c r="B451" s="10"/>
      <c r="C451" s="10"/>
    </row>
    <row r="452" spans="1:3" ht="13" x14ac:dyDescent="0.15">
      <c r="A452" s="10"/>
      <c r="B452" s="10"/>
      <c r="C452" s="10"/>
    </row>
    <row r="453" spans="1:3" ht="13" x14ac:dyDescent="0.15">
      <c r="A453" s="10"/>
      <c r="B453" s="10"/>
      <c r="C453" s="10"/>
    </row>
    <row r="454" spans="1:3" ht="13" x14ac:dyDescent="0.15">
      <c r="A454" s="10"/>
      <c r="B454" s="10"/>
      <c r="C454" s="10"/>
    </row>
    <row r="455" spans="1:3" ht="13" x14ac:dyDescent="0.15">
      <c r="A455" s="10"/>
      <c r="B455" s="10"/>
      <c r="C455" s="10"/>
    </row>
    <row r="456" spans="1:3" ht="13" x14ac:dyDescent="0.15">
      <c r="A456" s="10"/>
      <c r="B456" s="10"/>
      <c r="C456" s="10"/>
    </row>
    <row r="457" spans="1:3" ht="13" x14ac:dyDescent="0.15">
      <c r="A457" s="10"/>
      <c r="B457" s="10"/>
      <c r="C457" s="10"/>
    </row>
    <row r="458" spans="1:3" ht="13" x14ac:dyDescent="0.15">
      <c r="A458" s="10"/>
      <c r="B458" s="10"/>
      <c r="C458" s="10"/>
    </row>
    <row r="459" spans="1:3" ht="13" x14ac:dyDescent="0.15">
      <c r="A459" s="10"/>
      <c r="B459" s="10"/>
      <c r="C459" s="10"/>
    </row>
    <row r="460" spans="1:3" ht="13" x14ac:dyDescent="0.15">
      <c r="A460" s="10"/>
      <c r="B460" s="10"/>
      <c r="C460" s="10"/>
    </row>
    <row r="461" spans="1:3" ht="13" x14ac:dyDescent="0.15">
      <c r="A461" s="10"/>
      <c r="B461" s="10"/>
      <c r="C461" s="10"/>
    </row>
    <row r="462" spans="1:3" ht="13" x14ac:dyDescent="0.15">
      <c r="A462" s="10"/>
      <c r="B462" s="10"/>
      <c r="C462" s="10"/>
    </row>
    <row r="463" spans="1:3" ht="13" x14ac:dyDescent="0.15">
      <c r="A463" s="10"/>
      <c r="B463" s="10"/>
      <c r="C463" s="10"/>
    </row>
    <row r="464" spans="1:3" ht="13" x14ac:dyDescent="0.15">
      <c r="A464" s="10"/>
      <c r="B464" s="10"/>
      <c r="C464" s="10"/>
    </row>
    <row r="465" spans="1:3" ht="13" x14ac:dyDescent="0.15">
      <c r="A465" s="10"/>
      <c r="B465" s="10"/>
      <c r="C465" s="10"/>
    </row>
    <row r="466" spans="1:3" ht="13" x14ac:dyDescent="0.15">
      <c r="A466" s="10"/>
      <c r="B466" s="10"/>
      <c r="C466" s="10"/>
    </row>
    <row r="467" spans="1:3" ht="13" x14ac:dyDescent="0.15">
      <c r="A467" s="10"/>
      <c r="B467" s="10"/>
      <c r="C467" s="10"/>
    </row>
    <row r="468" spans="1:3" ht="13" x14ac:dyDescent="0.15">
      <c r="A468" s="10"/>
      <c r="B468" s="10"/>
      <c r="C468" s="10"/>
    </row>
    <row r="469" spans="1:3" ht="13" x14ac:dyDescent="0.15">
      <c r="A469" s="10"/>
      <c r="B469" s="10"/>
      <c r="C469" s="10"/>
    </row>
    <row r="470" spans="1:3" ht="13" x14ac:dyDescent="0.15">
      <c r="A470" s="10"/>
      <c r="B470" s="10"/>
      <c r="C470" s="10"/>
    </row>
    <row r="471" spans="1:3" ht="13" x14ac:dyDescent="0.15">
      <c r="A471" s="10"/>
      <c r="B471" s="10"/>
      <c r="C471" s="10"/>
    </row>
    <row r="472" spans="1:3" ht="13" x14ac:dyDescent="0.15">
      <c r="A472" s="10"/>
      <c r="B472" s="10"/>
      <c r="C472" s="10"/>
    </row>
    <row r="473" spans="1:3" ht="13" x14ac:dyDescent="0.15">
      <c r="A473" s="10"/>
      <c r="B473" s="10"/>
      <c r="C473" s="10"/>
    </row>
    <row r="474" spans="1:3" ht="13" x14ac:dyDescent="0.15">
      <c r="A474" s="10"/>
      <c r="B474" s="10"/>
      <c r="C474" s="10"/>
    </row>
    <row r="475" spans="1:3" ht="13" x14ac:dyDescent="0.15">
      <c r="A475" s="10"/>
      <c r="B475" s="10"/>
      <c r="C475" s="10"/>
    </row>
    <row r="476" spans="1:3" ht="13" x14ac:dyDescent="0.15">
      <c r="A476" s="10"/>
      <c r="B476" s="10"/>
      <c r="C476" s="10"/>
    </row>
    <row r="477" spans="1:3" ht="13" x14ac:dyDescent="0.15">
      <c r="A477" s="10"/>
      <c r="B477" s="10"/>
      <c r="C477" s="10"/>
    </row>
    <row r="478" spans="1:3" ht="13" x14ac:dyDescent="0.15">
      <c r="A478" s="10"/>
      <c r="B478" s="10"/>
      <c r="C478" s="10"/>
    </row>
    <row r="479" spans="1:3" ht="13" x14ac:dyDescent="0.15">
      <c r="A479" s="10"/>
      <c r="B479" s="10"/>
      <c r="C479" s="10"/>
    </row>
    <row r="480" spans="1:3" ht="13" x14ac:dyDescent="0.15">
      <c r="A480" s="10"/>
      <c r="B480" s="10"/>
      <c r="C480" s="10"/>
    </row>
    <row r="481" spans="1:3" ht="13" x14ac:dyDescent="0.15">
      <c r="A481" s="10"/>
      <c r="B481" s="10"/>
      <c r="C481" s="10"/>
    </row>
    <row r="482" spans="1:3" ht="13" x14ac:dyDescent="0.15">
      <c r="A482" s="10"/>
      <c r="B482" s="10"/>
      <c r="C482" s="10"/>
    </row>
    <row r="483" spans="1:3" ht="13" x14ac:dyDescent="0.15">
      <c r="A483" s="10"/>
      <c r="B483" s="10"/>
      <c r="C483" s="10"/>
    </row>
    <row r="484" spans="1:3" ht="13" x14ac:dyDescent="0.15">
      <c r="A484" s="10"/>
      <c r="B484" s="10"/>
      <c r="C484" s="10"/>
    </row>
    <row r="485" spans="1:3" ht="13" x14ac:dyDescent="0.15">
      <c r="A485" s="10"/>
      <c r="B485" s="10"/>
      <c r="C485" s="10"/>
    </row>
    <row r="486" spans="1:3" ht="13" x14ac:dyDescent="0.15">
      <c r="A486" s="10"/>
      <c r="B486" s="10"/>
      <c r="C486" s="10"/>
    </row>
    <row r="487" spans="1:3" ht="13" x14ac:dyDescent="0.15">
      <c r="A487" s="10"/>
      <c r="B487" s="10"/>
      <c r="C487" s="10"/>
    </row>
    <row r="488" spans="1:3" ht="13" x14ac:dyDescent="0.15">
      <c r="A488" s="10"/>
      <c r="B488" s="10"/>
      <c r="C488" s="10"/>
    </row>
    <row r="489" spans="1:3" ht="13" x14ac:dyDescent="0.15">
      <c r="A489" s="10"/>
      <c r="B489" s="10"/>
      <c r="C489" s="10"/>
    </row>
    <row r="490" spans="1:3" ht="13" x14ac:dyDescent="0.15">
      <c r="A490" s="10"/>
      <c r="B490" s="10"/>
      <c r="C490" s="10"/>
    </row>
    <row r="491" spans="1:3" ht="13" x14ac:dyDescent="0.15">
      <c r="A491" s="10"/>
      <c r="B491" s="10"/>
      <c r="C491" s="10"/>
    </row>
    <row r="492" spans="1:3" ht="13" x14ac:dyDescent="0.15">
      <c r="A492" s="10"/>
      <c r="B492" s="10"/>
      <c r="C492" s="10"/>
    </row>
    <row r="493" spans="1:3" ht="13" x14ac:dyDescent="0.15">
      <c r="A493" s="10"/>
      <c r="B493" s="10"/>
      <c r="C493" s="10"/>
    </row>
    <row r="494" spans="1:3" ht="13" x14ac:dyDescent="0.15">
      <c r="A494" s="10"/>
      <c r="B494" s="10"/>
      <c r="C494" s="10"/>
    </row>
    <row r="495" spans="1:3" ht="13" x14ac:dyDescent="0.15">
      <c r="A495" s="10"/>
      <c r="B495" s="10"/>
      <c r="C495" s="10"/>
    </row>
    <row r="496" spans="1:3" ht="13" x14ac:dyDescent="0.15">
      <c r="A496" s="10"/>
      <c r="B496" s="10"/>
      <c r="C496" s="10"/>
    </row>
    <row r="497" spans="1:3" ht="13" x14ac:dyDescent="0.15">
      <c r="A497" s="10"/>
      <c r="B497" s="10"/>
      <c r="C497" s="10"/>
    </row>
    <row r="498" spans="1:3" ht="13" x14ac:dyDescent="0.15">
      <c r="A498" s="10"/>
      <c r="B498" s="10"/>
      <c r="C498" s="10"/>
    </row>
    <row r="499" spans="1:3" ht="13" x14ac:dyDescent="0.15">
      <c r="A499" s="10"/>
      <c r="B499" s="10"/>
      <c r="C499" s="10"/>
    </row>
    <row r="500" spans="1:3" ht="13" x14ac:dyDescent="0.15">
      <c r="A500" s="10"/>
      <c r="B500" s="10"/>
      <c r="C500" s="10"/>
    </row>
    <row r="501" spans="1:3" ht="13" x14ac:dyDescent="0.15">
      <c r="A501" s="10"/>
      <c r="B501" s="10"/>
      <c r="C501" s="10"/>
    </row>
    <row r="502" spans="1:3" ht="13" x14ac:dyDescent="0.15">
      <c r="A502" s="10"/>
      <c r="B502" s="10"/>
      <c r="C502" s="10"/>
    </row>
    <row r="503" spans="1:3" ht="13" x14ac:dyDescent="0.15">
      <c r="A503" s="10"/>
      <c r="B503" s="10"/>
      <c r="C503" s="10"/>
    </row>
    <row r="504" spans="1:3" ht="13" x14ac:dyDescent="0.15">
      <c r="A504" s="10"/>
      <c r="B504" s="10"/>
      <c r="C504" s="10"/>
    </row>
    <row r="505" spans="1:3" ht="13" x14ac:dyDescent="0.15">
      <c r="A505" s="10"/>
      <c r="B505" s="10"/>
      <c r="C505" s="10"/>
    </row>
    <row r="506" spans="1:3" ht="13" x14ac:dyDescent="0.15">
      <c r="A506" s="10"/>
      <c r="B506" s="10"/>
      <c r="C506" s="10"/>
    </row>
    <row r="507" spans="1:3" ht="13" x14ac:dyDescent="0.15">
      <c r="A507" s="10"/>
      <c r="B507" s="10"/>
      <c r="C507" s="10"/>
    </row>
    <row r="508" spans="1:3" ht="13" x14ac:dyDescent="0.15">
      <c r="A508" s="10"/>
      <c r="B508" s="10"/>
      <c r="C508" s="10"/>
    </row>
    <row r="509" spans="1:3" ht="13" x14ac:dyDescent="0.15">
      <c r="A509" s="10"/>
      <c r="B509" s="10"/>
      <c r="C509" s="10"/>
    </row>
    <row r="510" spans="1:3" ht="13" x14ac:dyDescent="0.15">
      <c r="A510" s="10"/>
      <c r="B510" s="10"/>
      <c r="C510" s="10"/>
    </row>
    <row r="511" spans="1:3" ht="13" x14ac:dyDescent="0.15">
      <c r="A511" s="10"/>
      <c r="B511" s="10"/>
      <c r="C511" s="10"/>
    </row>
    <row r="512" spans="1:3" ht="13" x14ac:dyDescent="0.15">
      <c r="A512" s="10"/>
      <c r="B512" s="10"/>
      <c r="C512" s="10"/>
    </row>
    <row r="513" spans="1:3" ht="13" x14ac:dyDescent="0.15">
      <c r="A513" s="10"/>
      <c r="B513" s="10"/>
      <c r="C513" s="10"/>
    </row>
    <row r="514" spans="1:3" ht="13" x14ac:dyDescent="0.15">
      <c r="A514" s="10"/>
      <c r="B514" s="10"/>
      <c r="C514" s="10"/>
    </row>
    <row r="515" spans="1:3" ht="13" x14ac:dyDescent="0.15">
      <c r="A515" s="10"/>
      <c r="B515" s="10"/>
      <c r="C515" s="10"/>
    </row>
    <row r="516" spans="1:3" ht="13" x14ac:dyDescent="0.15">
      <c r="A516" s="10"/>
      <c r="B516" s="10"/>
      <c r="C516" s="10"/>
    </row>
    <row r="517" spans="1:3" ht="13" x14ac:dyDescent="0.15">
      <c r="A517" s="10"/>
      <c r="B517" s="10"/>
      <c r="C517" s="10"/>
    </row>
    <row r="518" spans="1:3" ht="13" x14ac:dyDescent="0.15">
      <c r="A518" s="10"/>
      <c r="B518" s="10"/>
      <c r="C518" s="10"/>
    </row>
    <row r="519" spans="1:3" ht="13" x14ac:dyDescent="0.15">
      <c r="A519" s="10"/>
      <c r="B519" s="10"/>
      <c r="C519" s="10"/>
    </row>
    <row r="520" spans="1:3" ht="13" x14ac:dyDescent="0.15">
      <c r="A520" s="10"/>
      <c r="B520" s="10"/>
      <c r="C520" s="10"/>
    </row>
    <row r="521" spans="1:3" ht="13" x14ac:dyDescent="0.15">
      <c r="A521" s="10"/>
      <c r="B521" s="10"/>
      <c r="C521" s="10"/>
    </row>
    <row r="522" spans="1:3" ht="13" x14ac:dyDescent="0.15">
      <c r="A522" s="10"/>
      <c r="B522" s="10"/>
      <c r="C522" s="10"/>
    </row>
    <row r="523" spans="1:3" ht="13" x14ac:dyDescent="0.15">
      <c r="A523" s="10"/>
      <c r="B523" s="10"/>
      <c r="C523" s="10"/>
    </row>
    <row r="524" spans="1:3" ht="13" x14ac:dyDescent="0.15">
      <c r="A524" s="10"/>
      <c r="B524" s="10"/>
      <c r="C524" s="10"/>
    </row>
    <row r="525" spans="1:3" ht="13" x14ac:dyDescent="0.15">
      <c r="A525" s="10"/>
      <c r="B525" s="10"/>
      <c r="C525" s="10"/>
    </row>
    <row r="526" spans="1:3" ht="13" x14ac:dyDescent="0.15">
      <c r="A526" s="10"/>
      <c r="B526" s="10"/>
      <c r="C526" s="10"/>
    </row>
    <row r="527" spans="1:3" ht="13" x14ac:dyDescent="0.15">
      <c r="A527" s="10"/>
      <c r="B527" s="10"/>
      <c r="C527" s="10"/>
    </row>
    <row r="528" spans="1:3" ht="13" x14ac:dyDescent="0.15">
      <c r="A528" s="10"/>
      <c r="B528" s="10"/>
      <c r="C528" s="10"/>
    </row>
    <row r="529" spans="1:3" ht="13" x14ac:dyDescent="0.15">
      <c r="A529" s="10"/>
      <c r="B529" s="10"/>
      <c r="C529" s="10"/>
    </row>
    <row r="530" spans="1:3" ht="13" x14ac:dyDescent="0.15">
      <c r="A530" s="10"/>
      <c r="B530" s="10"/>
      <c r="C530" s="10"/>
    </row>
    <row r="531" spans="1:3" ht="13" x14ac:dyDescent="0.15">
      <c r="A531" s="10"/>
      <c r="B531" s="10"/>
      <c r="C531" s="10"/>
    </row>
    <row r="532" spans="1:3" ht="13" x14ac:dyDescent="0.15">
      <c r="A532" s="10"/>
      <c r="B532" s="10"/>
      <c r="C532" s="10"/>
    </row>
    <row r="533" spans="1:3" ht="13" x14ac:dyDescent="0.15">
      <c r="A533" s="10"/>
      <c r="B533" s="10"/>
      <c r="C533" s="10"/>
    </row>
    <row r="534" spans="1:3" ht="13" x14ac:dyDescent="0.15">
      <c r="A534" s="10"/>
      <c r="B534" s="10"/>
      <c r="C534" s="10"/>
    </row>
    <row r="535" spans="1:3" ht="13" x14ac:dyDescent="0.15">
      <c r="A535" s="10"/>
      <c r="B535" s="10"/>
      <c r="C535" s="10"/>
    </row>
    <row r="536" spans="1:3" ht="13" x14ac:dyDescent="0.15">
      <c r="A536" s="10"/>
      <c r="B536" s="10"/>
      <c r="C536" s="10"/>
    </row>
    <row r="537" spans="1:3" ht="13" x14ac:dyDescent="0.15">
      <c r="A537" s="10"/>
      <c r="B537" s="10"/>
      <c r="C537" s="10"/>
    </row>
    <row r="538" spans="1:3" ht="13" x14ac:dyDescent="0.15">
      <c r="A538" s="10"/>
      <c r="B538" s="10"/>
      <c r="C538" s="10"/>
    </row>
    <row r="539" spans="1:3" ht="13" x14ac:dyDescent="0.15">
      <c r="A539" s="10"/>
      <c r="B539" s="10"/>
      <c r="C539" s="10"/>
    </row>
    <row r="540" spans="1:3" ht="13" x14ac:dyDescent="0.15">
      <c r="A540" s="10"/>
      <c r="B540" s="10"/>
      <c r="C540" s="10"/>
    </row>
    <row r="541" spans="1:3" ht="13" x14ac:dyDescent="0.15">
      <c r="A541" s="10"/>
      <c r="B541" s="10"/>
      <c r="C541" s="10"/>
    </row>
    <row r="542" spans="1:3" ht="13" x14ac:dyDescent="0.15">
      <c r="A542" s="10"/>
      <c r="B542" s="10"/>
      <c r="C542" s="10"/>
    </row>
    <row r="543" spans="1:3" ht="13" x14ac:dyDescent="0.15">
      <c r="A543" s="10"/>
      <c r="B543" s="10"/>
      <c r="C543" s="10"/>
    </row>
    <row r="544" spans="1:3" ht="13" x14ac:dyDescent="0.15">
      <c r="A544" s="10"/>
      <c r="B544" s="10"/>
      <c r="C544" s="10"/>
    </row>
    <row r="545" spans="1:3" ht="13" x14ac:dyDescent="0.15">
      <c r="A545" s="10"/>
      <c r="B545" s="10"/>
      <c r="C545" s="10"/>
    </row>
    <row r="546" spans="1:3" ht="13" x14ac:dyDescent="0.15">
      <c r="A546" s="10"/>
      <c r="B546" s="10"/>
      <c r="C546" s="10"/>
    </row>
    <row r="547" spans="1:3" ht="13" x14ac:dyDescent="0.15">
      <c r="A547" s="10"/>
      <c r="B547" s="10"/>
      <c r="C547" s="10"/>
    </row>
    <row r="548" spans="1:3" ht="13" x14ac:dyDescent="0.15">
      <c r="A548" s="10"/>
      <c r="B548" s="10"/>
      <c r="C548" s="10"/>
    </row>
    <row r="549" spans="1:3" ht="13" x14ac:dyDescent="0.15">
      <c r="A549" s="10"/>
      <c r="B549" s="10"/>
      <c r="C549" s="10"/>
    </row>
    <row r="550" spans="1:3" ht="13" x14ac:dyDescent="0.15">
      <c r="A550" s="10"/>
      <c r="B550" s="10"/>
      <c r="C550" s="10"/>
    </row>
    <row r="551" spans="1:3" ht="13" x14ac:dyDescent="0.15">
      <c r="A551" s="10"/>
      <c r="B551" s="10"/>
      <c r="C551" s="10"/>
    </row>
    <row r="552" spans="1:3" ht="13" x14ac:dyDescent="0.15">
      <c r="A552" s="10"/>
      <c r="B552" s="10"/>
      <c r="C552" s="10"/>
    </row>
    <row r="553" spans="1:3" ht="13" x14ac:dyDescent="0.15">
      <c r="A553" s="10"/>
      <c r="B553" s="10"/>
      <c r="C553" s="10"/>
    </row>
    <row r="554" spans="1:3" ht="13" x14ac:dyDescent="0.15">
      <c r="A554" s="10"/>
      <c r="B554" s="10"/>
      <c r="C554" s="10"/>
    </row>
    <row r="555" spans="1:3" ht="13" x14ac:dyDescent="0.15">
      <c r="A555" s="10"/>
      <c r="B555" s="10"/>
      <c r="C555" s="10"/>
    </row>
    <row r="556" spans="1:3" ht="13" x14ac:dyDescent="0.15">
      <c r="A556" s="10"/>
      <c r="B556" s="10"/>
      <c r="C556" s="10"/>
    </row>
    <row r="557" spans="1:3" ht="13" x14ac:dyDescent="0.15">
      <c r="A557" s="10"/>
      <c r="B557" s="10"/>
      <c r="C557" s="10"/>
    </row>
    <row r="558" spans="1:3" ht="13" x14ac:dyDescent="0.15">
      <c r="A558" s="10"/>
      <c r="B558" s="10"/>
      <c r="C558" s="10"/>
    </row>
    <row r="559" spans="1:3" ht="13" x14ac:dyDescent="0.15">
      <c r="A559" s="10"/>
      <c r="B559" s="10"/>
      <c r="C559" s="10"/>
    </row>
    <row r="560" spans="1:3" ht="13" x14ac:dyDescent="0.15">
      <c r="A560" s="10"/>
      <c r="B560" s="10"/>
      <c r="C560" s="10"/>
    </row>
    <row r="561" spans="1:3" ht="13" x14ac:dyDescent="0.15">
      <c r="A561" s="10"/>
      <c r="B561" s="10"/>
      <c r="C561" s="10"/>
    </row>
    <row r="562" spans="1:3" ht="13" x14ac:dyDescent="0.15">
      <c r="A562" s="10"/>
      <c r="B562" s="10"/>
      <c r="C562" s="10"/>
    </row>
    <row r="563" spans="1:3" ht="13" x14ac:dyDescent="0.15">
      <c r="A563" s="10"/>
      <c r="B563" s="10"/>
      <c r="C563" s="10"/>
    </row>
    <row r="564" spans="1:3" ht="13" x14ac:dyDescent="0.15">
      <c r="A564" s="10"/>
      <c r="B564" s="10"/>
      <c r="C564" s="10"/>
    </row>
    <row r="565" spans="1:3" ht="13" x14ac:dyDescent="0.15">
      <c r="A565" s="10"/>
      <c r="B565" s="10"/>
      <c r="C565" s="10"/>
    </row>
    <row r="566" spans="1:3" ht="13" x14ac:dyDescent="0.15">
      <c r="A566" s="10"/>
      <c r="B566" s="10"/>
      <c r="C566" s="10"/>
    </row>
    <row r="567" spans="1:3" ht="13" x14ac:dyDescent="0.15">
      <c r="A567" s="10"/>
      <c r="B567" s="10"/>
      <c r="C567" s="10"/>
    </row>
    <row r="568" spans="1:3" ht="13" x14ac:dyDescent="0.15">
      <c r="A568" s="10"/>
      <c r="B568" s="10"/>
      <c r="C568" s="10"/>
    </row>
    <row r="569" spans="1:3" ht="13" x14ac:dyDescent="0.15">
      <c r="A569" s="10"/>
      <c r="B569" s="10"/>
      <c r="C569" s="10"/>
    </row>
    <row r="570" spans="1:3" ht="13" x14ac:dyDescent="0.15">
      <c r="A570" s="10"/>
      <c r="B570" s="10"/>
      <c r="C570" s="10"/>
    </row>
    <row r="571" spans="1:3" ht="13" x14ac:dyDescent="0.15">
      <c r="A571" s="10"/>
      <c r="B571" s="10"/>
      <c r="C571" s="10"/>
    </row>
    <row r="572" spans="1:3" ht="13" x14ac:dyDescent="0.15">
      <c r="A572" s="10"/>
      <c r="B572" s="10"/>
      <c r="C572" s="10"/>
    </row>
    <row r="573" spans="1:3" ht="13" x14ac:dyDescent="0.15">
      <c r="A573" s="10"/>
      <c r="B573" s="10"/>
      <c r="C573" s="10"/>
    </row>
    <row r="574" spans="1:3" ht="13" x14ac:dyDescent="0.15">
      <c r="A574" s="10"/>
      <c r="B574" s="10"/>
      <c r="C574" s="10"/>
    </row>
    <row r="575" spans="1:3" ht="13" x14ac:dyDescent="0.15">
      <c r="A575" s="10"/>
      <c r="B575" s="10"/>
      <c r="C575" s="10"/>
    </row>
    <row r="576" spans="1:3" ht="13" x14ac:dyDescent="0.15">
      <c r="A576" s="10"/>
      <c r="B576" s="10"/>
      <c r="C576" s="10"/>
    </row>
    <row r="577" spans="1:3" ht="13" x14ac:dyDescent="0.15">
      <c r="A577" s="10"/>
      <c r="B577" s="10"/>
      <c r="C577" s="10"/>
    </row>
    <row r="578" spans="1:3" ht="13" x14ac:dyDescent="0.15">
      <c r="A578" s="10"/>
      <c r="B578" s="10"/>
      <c r="C578" s="10"/>
    </row>
    <row r="579" spans="1:3" ht="13" x14ac:dyDescent="0.15">
      <c r="A579" s="10"/>
      <c r="B579" s="10"/>
      <c r="C579" s="10"/>
    </row>
    <row r="580" spans="1:3" ht="13" x14ac:dyDescent="0.15">
      <c r="A580" s="10"/>
      <c r="B580" s="10"/>
      <c r="C580" s="10"/>
    </row>
    <row r="581" spans="1:3" ht="13" x14ac:dyDescent="0.15">
      <c r="A581" s="10"/>
      <c r="B581" s="10"/>
      <c r="C581" s="10"/>
    </row>
    <row r="582" spans="1:3" ht="13" x14ac:dyDescent="0.15">
      <c r="A582" s="10"/>
      <c r="B582" s="10"/>
      <c r="C582" s="10"/>
    </row>
    <row r="583" spans="1:3" ht="13" x14ac:dyDescent="0.15">
      <c r="A583" s="10"/>
      <c r="B583" s="10"/>
      <c r="C583" s="10"/>
    </row>
    <row r="584" spans="1:3" ht="13" x14ac:dyDescent="0.15">
      <c r="A584" s="10"/>
      <c r="B584" s="10"/>
      <c r="C584" s="10"/>
    </row>
    <row r="585" spans="1:3" ht="13" x14ac:dyDescent="0.15">
      <c r="A585" s="10"/>
      <c r="B585" s="10"/>
      <c r="C585" s="10"/>
    </row>
    <row r="586" spans="1:3" ht="13" x14ac:dyDescent="0.15">
      <c r="A586" s="10"/>
      <c r="B586" s="10"/>
      <c r="C586" s="10"/>
    </row>
    <row r="587" spans="1:3" ht="13" x14ac:dyDescent="0.15">
      <c r="A587" s="10"/>
      <c r="B587" s="10"/>
      <c r="C587" s="10"/>
    </row>
    <row r="588" spans="1:3" ht="13" x14ac:dyDescent="0.15">
      <c r="A588" s="10"/>
      <c r="B588" s="10"/>
      <c r="C588" s="10"/>
    </row>
    <row r="589" spans="1:3" ht="13" x14ac:dyDescent="0.15">
      <c r="A589" s="10"/>
      <c r="B589" s="10"/>
      <c r="C589" s="10"/>
    </row>
    <row r="590" spans="1:3" ht="13" x14ac:dyDescent="0.15">
      <c r="A590" s="10"/>
      <c r="B590" s="10"/>
      <c r="C590" s="10"/>
    </row>
    <row r="591" spans="1:3" ht="13" x14ac:dyDescent="0.15">
      <c r="A591" s="10"/>
      <c r="B591" s="10"/>
      <c r="C591" s="10"/>
    </row>
    <row r="592" spans="1:3" ht="13" x14ac:dyDescent="0.15">
      <c r="A592" s="10"/>
      <c r="B592" s="10"/>
      <c r="C592" s="10"/>
    </row>
    <row r="593" spans="1:3" ht="13" x14ac:dyDescent="0.15">
      <c r="A593" s="10"/>
      <c r="B593" s="10"/>
      <c r="C593" s="10"/>
    </row>
    <row r="594" spans="1:3" ht="13" x14ac:dyDescent="0.15">
      <c r="A594" s="10"/>
      <c r="B594" s="10"/>
      <c r="C594" s="10"/>
    </row>
    <row r="595" spans="1:3" ht="13" x14ac:dyDescent="0.15">
      <c r="A595" s="10"/>
      <c r="B595" s="10"/>
      <c r="C595" s="10"/>
    </row>
    <row r="596" spans="1:3" ht="13" x14ac:dyDescent="0.15">
      <c r="A596" s="10"/>
      <c r="B596" s="10"/>
      <c r="C596" s="10"/>
    </row>
    <row r="597" spans="1:3" ht="13" x14ac:dyDescent="0.15">
      <c r="A597" s="10"/>
      <c r="B597" s="10"/>
      <c r="C597" s="10"/>
    </row>
    <row r="598" spans="1:3" ht="13" x14ac:dyDescent="0.15">
      <c r="A598" s="10"/>
      <c r="B598" s="10"/>
      <c r="C598" s="10"/>
    </row>
    <row r="599" spans="1:3" ht="13" x14ac:dyDescent="0.15">
      <c r="A599" s="10"/>
      <c r="B599" s="10"/>
      <c r="C599" s="10"/>
    </row>
    <row r="600" spans="1:3" ht="13" x14ac:dyDescent="0.15">
      <c r="A600" s="10"/>
      <c r="B600" s="10"/>
      <c r="C600" s="10"/>
    </row>
    <row r="601" spans="1:3" ht="13" x14ac:dyDescent="0.15">
      <c r="A601" s="10"/>
      <c r="B601" s="10"/>
      <c r="C601" s="10"/>
    </row>
    <row r="602" spans="1:3" ht="13" x14ac:dyDescent="0.15">
      <c r="A602" s="10"/>
      <c r="B602" s="10"/>
      <c r="C602" s="10"/>
    </row>
    <row r="603" spans="1:3" ht="13" x14ac:dyDescent="0.15">
      <c r="A603" s="10"/>
      <c r="B603" s="10"/>
      <c r="C603" s="10"/>
    </row>
    <row r="604" spans="1:3" ht="13" x14ac:dyDescent="0.15">
      <c r="A604" s="10"/>
      <c r="B604" s="10"/>
      <c r="C604" s="10"/>
    </row>
    <row r="605" spans="1:3" ht="13" x14ac:dyDescent="0.15">
      <c r="A605" s="10"/>
      <c r="B605" s="10"/>
      <c r="C605" s="10"/>
    </row>
    <row r="606" spans="1:3" ht="13" x14ac:dyDescent="0.15">
      <c r="A606" s="10"/>
      <c r="B606" s="10"/>
      <c r="C606" s="10"/>
    </row>
    <row r="607" spans="1:3" ht="13" x14ac:dyDescent="0.15">
      <c r="A607" s="10"/>
      <c r="B607" s="10"/>
      <c r="C607" s="10"/>
    </row>
    <row r="608" spans="1:3" ht="13" x14ac:dyDescent="0.15">
      <c r="A608" s="10"/>
      <c r="B608" s="10"/>
      <c r="C608" s="10"/>
    </row>
    <row r="609" spans="1:3" ht="13" x14ac:dyDescent="0.15">
      <c r="A609" s="10"/>
      <c r="B609" s="10"/>
      <c r="C609" s="10"/>
    </row>
    <row r="610" spans="1:3" ht="13" x14ac:dyDescent="0.15">
      <c r="A610" s="10"/>
      <c r="B610" s="10"/>
      <c r="C610" s="10"/>
    </row>
    <row r="611" spans="1:3" ht="13" x14ac:dyDescent="0.15">
      <c r="A611" s="10"/>
      <c r="B611" s="10"/>
      <c r="C611" s="10"/>
    </row>
    <row r="612" spans="1:3" ht="13" x14ac:dyDescent="0.15">
      <c r="A612" s="10"/>
      <c r="B612" s="10"/>
      <c r="C612" s="10"/>
    </row>
    <row r="613" spans="1:3" ht="13" x14ac:dyDescent="0.15">
      <c r="A613" s="10"/>
      <c r="B613" s="10"/>
      <c r="C613" s="10"/>
    </row>
    <row r="614" spans="1:3" ht="13" x14ac:dyDescent="0.15">
      <c r="A614" s="10"/>
      <c r="B614" s="10"/>
      <c r="C614" s="10"/>
    </row>
    <row r="615" spans="1:3" ht="13" x14ac:dyDescent="0.15">
      <c r="A615" s="10"/>
      <c r="B615" s="10"/>
      <c r="C615" s="10"/>
    </row>
    <row r="616" spans="1:3" ht="13" x14ac:dyDescent="0.15">
      <c r="A616" s="10"/>
      <c r="B616" s="10"/>
      <c r="C616" s="10"/>
    </row>
    <row r="617" spans="1:3" ht="13" x14ac:dyDescent="0.15">
      <c r="A617" s="10"/>
      <c r="B617" s="10"/>
      <c r="C617" s="10"/>
    </row>
    <row r="618" spans="1:3" ht="13" x14ac:dyDescent="0.15">
      <c r="A618" s="10"/>
      <c r="B618" s="10"/>
      <c r="C618" s="10"/>
    </row>
    <row r="619" spans="1:3" ht="13" x14ac:dyDescent="0.15">
      <c r="A619" s="10"/>
      <c r="B619" s="10"/>
      <c r="C619" s="10"/>
    </row>
    <row r="620" spans="1:3" ht="13" x14ac:dyDescent="0.15">
      <c r="A620" s="10"/>
      <c r="B620" s="10"/>
      <c r="C620" s="10"/>
    </row>
    <row r="621" spans="1:3" ht="13" x14ac:dyDescent="0.15">
      <c r="A621" s="10"/>
      <c r="B621" s="10"/>
      <c r="C621" s="10"/>
    </row>
    <row r="622" spans="1:3" ht="13" x14ac:dyDescent="0.15">
      <c r="A622" s="10"/>
      <c r="B622" s="10"/>
      <c r="C622" s="10"/>
    </row>
    <row r="623" spans="1:3" ht="13" x14ac:dyDescent="0.15">
      <c r="A623" s="10"/>
      <c r="B623" s="10"/>
      <c r="C623" s="10"/>
    </row>
    <row r="624" spans="1:3" ht="13" x14ac:dyDescent="0.15">
      <c r="A624" s="10"/>
      <c r="B624" s="10"/>
      <c r="C624" s="10"/>
    </row>
    <row r="625" spans="1:3" ht="13" x14ac:dyDescent="0.15">
      <c r="A625" s="10"/>
      <c r="B625" s="10"/>
      <c r="C625" s="10"/>
    </row>
    <row r="626" spans="1:3" ht="13" x14ac:dyDescent="0.15">
      <c r="A626" s="10"/>
      <c r="B626" s="10"/>
      <c r="C626" s="10"/>
    </row>
    <row r="627" spans="1:3" ht="13" x14ac:dyDescent="0.15">
      <c r="A627" s="10"/>
      <c r="B627" s="10"/>
      <c r="C627" s="10"/>
    </row>
    <row r="628" spans="1:3" ht="13" x14ac:dyDescent="0.15">
      <c r="A628" s="10"/>
      <c r="B628" s="10"/>
      <c r="C628" s="10"/>
    </row>
    <row r="629" spans="1:3" ht="13" x14ac:dyDescent="0.15">
      <c r="A629" s="10"/>
      <c r="B629" s="10"/>
      <c r="C629" s="10"/>
    </row>
    <row r="630" spans="1:3" ht="13" x14ac:dyDescent="0.15">
      <c r="A630" s="10"/>
      <c r="B630" s="10"/>
      <c r="C630" s="10"/>
    </row>
    <row r="631" spans="1:3" ht="13" x14ac:dyDescent="0.15">
      <c r="A631" s="10"/>
      <c r="B631" s="10"/>
      <c r="C631" s="10"/>
    </row>
    <row r="632" spans="1:3" ht="13" x14ac:dyDescent="0.15">
      <c r="A632" s="10"/>
      <c r="B632" s="10"/>
      <c r="C632" s="10"/>
    </row>
    <row r="633" spans="1:3" ht="13" x14ac:dyDescent="0.15">
      <c r="A633" s="10"/>
      <c r="B633" s="10"/>
      <c r="C633" s="10"/>
    </row>
    <row r="634" spans="1:3" ht="13" x14ac:dyDescent="0.15">
      <c r="A634" s="10"/>
      <c r="B634" s="10"/>
      <c r="C634" s="10"/>
    </row>
    <row r="635" spans="1:3" ht="13" x14ac:dyDescent="0.15">
      <c r="A635" s="10"/>
      <c r="B635" s="10"/>
      <c r="C635" s="10"/>
    </row>
    <row r="636" spans="1:3" ht="13" x14ac:dyDescent="0.15">
      <c r="A636" s="10"/>
      <c r="B636" s="10"/>
      <c r="C636" s="10"/>
    </row>
    <row r="637" spans="1:3" ht="13" x14ac:dyDescent="0.15">
      <c r="A637" s="10"/>
      <c r="B637" s="10"/>
      <c r="C637" s="10"/>
    </row>
    <row r="638" spans="1:3" ht="13" x14ac:dyDescent="0.15">
      <c r="A638" s="10"/>
      <c r="B638" s="10"/>
      <c r="C638" s="10"/>
    </row>
    <row r="639" spans="1:3" ht="13" x14ac:dyDescent="0.15">
      <c r="A639" s="10"/>
      <c r="B639" s="10"/>
      <c r="C639" s="10"/>
    </row>
    <row r="640" spans="1:3" ht="13" x14ac:dyDescent="0.15">
      <c r="A640" s="10"/>
      <c r="B640" s="10"/>
      <c r="C640" s="10"/>
    </row>
    <row r="641" spans="1:3" ht="13" x14ac:dyDescent="0.15">
      <c r="A641" s="10"/>
      <c r="B641" s="10"/>
      <c r="C641" s="10"/>
    </row>
    <row r="642" spans="1:3" ht="13" x14ac:dyDescent="0.15">
      <c r="A642" s="10"/>
      <c r="B642" s="10"/>
      <c r="C642" s="10"/>
    </row>
    <row r="643" spans="1:3" ht="13" x14ac:dyDescent="0.15">
      <c r="A643" s="10"/>
      <c r="B643" s="10"/>
      <c r="C643" s="10"/>
    </row>
    <row r="644" spans="1:3" ht="13" x14ac:dyDescent="0.15">
      <c r="A644" s="10"/>
      <c r="B644" s="10"/>
      <c r="C644" s="10"/>
    </row>
    <row r="645" spans="1:3" ht="13" x14ac:dyDescent="0.15">
      <c r="A645" s="10"/>
      <c r="B645" s="10"/>
      <c r="C645" s="10"/>
    </row>
    <row r="646" spans="1:3" ht="13" x14ac:dyDescent="0.15">
      <c r="A646" s="10"/>
      <c r="B646" s="10"/>
      <c r="C646" s="10"/>
    </row>
    <row r="647" spans="1:3" ht="13" x14ac:dyDescent="0.15">
      <c r="A647" s="10"/>
      <c r="B647" s="10"/>
      <c r="C647" s="10"/>
    </row>
    <row r="648" spans="1:3" ht="13" x14ac:dyDescent="0.15">
      <c r="A648" s="10"/>
      <c r="B648" s="10"/>
      <c r="C648" s="10"/>
    </row>
    <row r="649" spans="1:3" ht="13" x14ac:dyDescent="0.15">
      <c r="A649" s="10"/>
      <c r="B649" s="10"/>
      <c r="C649" s="10"/>
    </row>
    <row r="650" spans="1:3" ht="13" x14ac:dyDescent="0.15">
      <c r="A650" s="10"/>
      <c r="B650" s="10"/>
      <c r="C650" s="10"/>
    </row>
    <row r="651" spans="1:3" ht="13" x14ac:dyDescent="0.15">
      <c r="A651" s="10"/>
      <c r="B651" s="10"/>
      <c r="C651" s="10"/>
    </row>
    <row r="652" spans="1:3" ht="13" x14ac:dyDescent="0.15">
      <c r="A652" s="10"/>
      <c r="B652" s="10"/>
      <c r="C652" s="10"/>
    </row>
    <row r="653" spans="1:3" ht="13" x14ac:dyDescent="0.15">
      <c r="A653" s="10"/>
      <c r="B653" s="10"/>
      <c r="C653" s="10"/>
    </row>
    <row r="654" spans="1:3" ht="13" x14ac:dyDescent="0.15">
      <c r="A654" s="10"/>
      <c r="B654" s="10"/>
      <c r="C654" s="10"/>
    </row>
    <row r="655" spans="1:3" ht="13" x14ac:dyDescent="0.15">
      <c r="A655" s="10"/>
      <c r="B655" s="10"/>
      <c r="C655" s="10"/>
    </row>
    <row r="656" spans="1:3" ht="13" x14ac:dyDescent="0.15">
      <c r="A656" s="10"/>
      <c r="B656" s="10"/>
      <c r="C656" s="10"/>
    </row>
    <row r="657" spans="1:3" ht="13" x14ac:dyDescent="0.15">
      <c r="A657" s="10"/>
      <c r="B657" s="10"/>
      <c r="C657" s="10"/>
    </row>
    <row r="658" spans="1:3" ht="13" x14ac:dyDescent="0.15">
      <c r="A658" s="10"/>
      <c r="B658" s="10"/>
      <c r="C658" s="10"/>
    </row>
    <row r="659" spans="1:3" ht="13" x14ac:dyDescent="0.15">
      <c r="A659" s="10"/>
      <c r="B659" s="10"/>
      <c r="C659" s="10"/>
    </row>
    <row r="660" spans="1:3" ht="13" x14ac:dyDescent="0.15">
      <c r="A660" s="10"/>
      <c r="B660" s="10"/>
      <c r="C660" s="10"/>
    </row>
    <row r="661" spans="1:3" ht="13" x14ac:dyDescent="0.15">
      <c r="A661" s="10"/>
      <c r="B661" s="10"/>
      <c r="C661" s="10"/>
    </row>
    <row r="662" spans="1:3" ht="13" x14ac:dyDescent="0.15">
      <c r="A662" s="10"/>
      <c r="B662" s="10"/>
      <c r="C662" s="10"/>
    </row>
    <row r="663" spans="1:3" ht="13" x14ac:dyDescent="0.15">
      <c r="A663" s="10"/>
      <c r="B663" s="10"/>
      <c r="C663" s="10"/>
    </row>
    <row r="664" spans="1:3" ht="13" x14ac:dyDescent="0.15">
      <c r="A664" s="10"/>
      <c r="B664" s="10"/>
      <c r="C664" s="10"/>
    </row>
    <row r="665" spans="1:3" ht="13" x14ac:dyDescent="0.15">
      <c r="A665" s="10"/>
      <c r="B665" s="10"/>
      <c r="C665" s="10"/>
    </row>
    <row r="666" spans="1:3" ht="13" x14ac:dyDescent="0.15">
      <c r="A666" s="10"/>
      <c r="B666" s="10"/>
      <c r="C666" s="10"/>
    </row>
    <row r="667" spans="1:3" ht="13" x14ac:dyDescent="0.15">
      <c r="A667" s="10"/>
      <c r="B667" s="10"/>
      <c r="C667" s="10"/>
    </row>
    <row r="668" spans="1:3" ht="13" x14ac:dyDescent="0.15">
      <c r="A668" s="10"/>
      <c r="B668" s="10"/>
      <c r="C668" s="10"/>
    </row>
    <row r="669" spans="1:3" ht="13" x14ac:dyDescent="0.15">
      <c r="A669" s="10"/>
      <c r="B669" s="10"/>
      <c r="C669" s="10"/>
    </row>
    <row r="670" spans="1:3" ht="13" x14ac:dyDescent="0.15">
      <c r="A670" s="10"/>
      <c r="B670" s="10"/>
      <c r="C670" s="10"/>
    </row>
    <row r="671" spans="1:3" ht="13" x14ac:dyDescent="0.15">
      <c r="A671" s="10"/>
      <c r="B671" s="10"/>
      <c r="C671" s="10"/>
    </row>
    <row r="672" spans="1:3" ht="13" x14ac:dyDescent="0.15">
      <c r="A672" s="10"/>
      <c r="B672" s="10"/>
      <c r="C672" s="10"/>
    </row>
    <row r="673" spans="1:3" ht="13" x14ac:dyDescent="0.15">
      <c r="A673" s="10"/>
      <c r="B673" s="10"/>
      <c r="C673" s="10"/>
    </row>
    <row r="674" spans="1:3" ht="13" x14ac:dyDescent="0.15">
      <c r="A674" s="10"/>
      <c r="B674" s="10"/>
      <c r="C674" s="10"/>
    </row>
    <row r="675" spans="1:3" ht="13" x14ac:dyDescent="0.15">
      <c r="A675" s="10"/>
      <c r="B675" s="10"/>
      <c r="C675" s="10"/>
    </row>
    <row r="676" spans="1:3" ht="13" x14ac:dyDescent="0.15">
      <c r="A676" s="10"/>
      <c r="B676" s="10"/>
      <c r="C676" s="10"/>
    </row>
    <row r="677" spans="1:3" ht="13" x14ac:dyDescent="0.15">
      <c r="A677" s="10"/>
      <c r="B677" s="10"/>
      <c r="C677" s="10"/>
    </row>
    <row r="678" spans="1:3" ht="13" x14ac:dyDescent="0.15">
      <c r="A678" s="10"/>
      <c r="B678" s="10"/>
      <c r="C678" s="10"/>
    </row>
    <row r="679" spans="1:3" ht="13" x14ac:dyDescent="0.15">
      <c r="A679" s="10"/>
      <c r="B679" s="10"/>
      <c r="C679" s="10"/>
    </row>
    <row r="680" spans="1:3" ht="13" x14ac:dyDescent="0.15">
      <c r="A680" s="10"/>
      <c r="B680" s="10"/>
      <c r="C680" s="10"/>
    </row>
    <row r="681" spans="1:3" ht="13" x14ac:dyDescent="0.15">
      <c r="A681" s="10"/>
      <c r="B681" s="10"/>
      <c r="C681" s="10"/>
    </row>
    <row r="682" spans="1:3" ht="13" x14ac:dyDescent="0.15">
      <c r="A682" s="10"/>
      <c r="B682" s="10"/>
      <c r="C682" s="10"/>
    </row>
    <row r="683" spans="1:3" ht="13" x14ac:dyDescent="0.15">
      <c r="A683" s="10"/>
      <c r="B683" s="10"/>
      <c r="C683" s="10"/>
    </row>
    <row r="684" spans="1:3" ht="13" x14ac:dyDescent="0.15">
      <c r="A684" s="10"/>
      <c r="B684" s="10"/>
      <c r="C684" s="10"/>
    </row>
    <row r="685" spans="1:3" ht="13" x14ac:dyDescent="0.15">
      <c r="A685" s="10"/>
      <c r="B685" s="10"/>
      <c r="C685" s="10"/>
    </row>
    <row r="686" spans="1:3" ht="13" x14ac:dyDescent="0.15">
      <c r="A686" s="10"/>
      <c r="B686" s="10"/>
      <c r="C686" s="10"/>
    </row>
    <row r="687" spans="1:3" ht="13" x14ac:dyDescent="0.15">
      <c r="A687" s="10"/>
      <c r="B687" s="10"/>
      <c r="C687" s="10"/>
    </row>
    <row r="688" spans="1:3" ht="13" x14ac:dyDescent="0.15">
      <c r="A688" s="10"/>
      <c r="B688" s="10"/>
      <c r="C688" s="10"/>
    </row>
    <row r="689" spans="1:3" ht="13" x14ac:dyDescent="0.15">
      <c r="A689" s="10"/>
      <c r="B689" s="10"/>
      <c r="C689" s="10"/>
    </row>
    <row r="690" spans="1:3" ht="13" x14ac:dyDescent="0.15">
      <c r="A690" s="10"/>
      <c r="B690" s="10"/>
      <c r="C690" s="10"/>
    </row>
    <row r="691" spans="1:3" ht="13" x14ac:dyDescent="0.15">
      <c r="A691" s="10"/>
      <c r="B691" s="10"/>
      <c r="C691" s="10"/>
    </row>
    <row r="692" spans="1:3" ht="13" x14ac:dyDescent="0.15">
      <c r="A692" s="10"/>
      <c r="B692" s="10"/>
      <c r="C692" s="10"/>
    </row>
    <row r="693" spans="1:3" ht="13" x14ac:dyDescent="0.15">
      <c r="A693" s="10"/>
      <c r="B693" s="10"/>
      <c r="C693" s="10"/>
    </row>
    <row r="694" spans="1:3" ht="13" x14ac:dyDescent="0.15">
      <c r="A694" s="10"/>
      <c r="B694" s="10"/>
      <c r="C694" s="10"/>
    </row>
    <row r="695" spans="1:3" ht="13" x14ac:dyDescent="0.15">
      <c r="A695" s="10"/>
      <c r="B695" s="10"/>
      <c r="C695" s="10"/>
    </row>
    <row r="696" spans="1:3" ht="13" x14ac:dyDescent="0.15">
      <c r="A696" s="10"/>
      <c r="B696" s="10"/>
      <c r="C696" s="10"/>
    </row>
    <row r="697" spans="1:3" ht="13" x14ac:dyDescent="0.15">
      <c r="A697" s="10"/>
      <c r="B697" s="10"/>
      <c r="C697" s="10"/>
    </row>
    <row r="698" spans="1:3" ht="13" x14ac:dyDescent="0.15">
      <c r="A698" s="10"/>
      <c r="B698" s="10"/>
      <c r="C698" s="10"/>
    </row>
    <row r="699" spans="1:3" ht="13" x14ac:dyDescent="0.15">
      <c r="A699" s="10"/>
      <c r="B699" s="10"/>
      <c r="C699" s="10"/>
    </row>
    <row r="700" spans="1:3" ht="13" x14ac:dyDescent="0.15">
      <c r="A700" s="10"/>
      <c r="B700" s="10"/>
      <c r="C700" s="10"/>
    </row>
    <row r="701" spans="1:3" ht="13" x14ac:dyDescent="0.15">
      <c r="A701" s="10"/>
      <c r="B701" s="10"/>
      <c r="C701" s="10"/>
    </row>
    <row r="702" spans="1:3" ht="13" x14ac:dyDescent="0.15">
      <c r="A702" s="10"/>
      <c r="B702" s="10"/>
      <c r="C702" s="10"/>
    </row>
    <row r="703" spans="1:3" ht="13" x14ac:dyDescent="0.15">
      <c r="A703" s="10"/>
      <c r="B703" s="10"/>
      <c r="C703" s="10"/>
    </row>
    <row r="704" spans="1:3" ht="13" x14ac:dyDescent="0.15">
      <c r="A704" s="10"/>
      <c r="B704" s="10"/>
      <c r="C704" s="10"/>
    </row>
    <row r="705" spans="1:3" ht="13" x14ac:dyDescent="0.15">
      <c r="A705" s="10"/>
      <c r="B705" s="10"/>
      <c r="C705" s="10"/>
    </row>
    <row r="706" spans="1:3" ht="13" x14ac:dyDescent="0.15">
      <c r="A706" s="10"/>
      <c r="B706" s="10"/>
      <c r="C706" s="10"/>
    </row>
    <row r="707" spans="1:3" ht="13" x14ac:dyDescent="0.15">
      <c r="A707" s="10"/>
      <c r="B707" s="10"/>
      <c r="C707" s="10"/>
    </row>
    <row r="708" spans="1:3" ht="13" x14ac:dyDescent="0.15">
      <c r="A708" s="10"/>
      <c r="B708" s="10"/>
      <c r="C708" s="10"/>
    </row>
    <row r="709" spans="1:3" ht="13" x14ac:dyDescent="0.15">
      <c r="A709" s="10"/>
      <c r="B709" s="10"/>
      <c r="C709" s="10"/>
    </row>
    <row r="710" spans="1:3" ht="13" x14ac:dyDescent="0.15">
      <c r="A710" s="10"/>
      <c r="B710" s="10"/>
      <c r="C710" s="10"/>
    </row>
    <row r="711" spans="1:3" ht="13" x14ac:dyDescent="0.15">
      <c r="A711" s="10"/>
      <c r="B711" s="10"/>
      <c r="C711" s="10"/>
    </row>
    <row r="712" spans="1:3" ht="13" x14ac:dyDescent="0.15">
      <c r="A712" s="10"/>
      <c r="B712" s="10"/>
      <c r="C712" s="10"/>
    </row>
    <row r="713" spans="1:3" ht="13" x14ac:dyDescent="0.15">
      <c r="A713" s="10"/>
      <c r="B713" s="10"/>
      <c r="C713" s="10"/>
    </row>
    <row r="714" spans="1:3" ht="13" x14ac:dyDescent="0.15">
      <c r="A714" s="10"/>
      <c r="B714" s="10"/>
      <c r="C714" s="10"/>
    </row>
    <row r="715" spans="1:3" ht="13" x14ac:dyDescent="0.15">
      <c r="A715" s="10"/>
      <c r="B715" s="10"/>
      <c r="C715" s="10"/>
    </row>
    <row r="716" spans="1:3" ht="13" x14ac:dyDescent="0.15">
      <c r="A716" s="10"/>
      <c r="B716" s="10"/>
      <c r="C716" s="10"/>
    </row>
    <row r="717" spans="1:3" ht="13" x14ac:dyDescent="0.15">
      <c r="A717" s="10"/>
      <c r="B717" s="10"/>
      <c r="C717" s="10"/>
    </row>
    <row r="718" spans="1:3" ht="13" x14ac:dyDescent="0.15">
      <c r="A718" s="10"/>
      <c r="B718" s="10"/>
      <c r="C718" s="10"/>
    </row>
    <row r="719" spans="1:3" ht="13" x14ac:dyDescent="0.15">
      <c r="A719" s="10"/>
      <c r="B719" s="10"/>
      <c r="C719" s="10"/>
    </row>
    <row r="720" spans="1:3" ht="13" x14ac:dyDescent="0.15">
      <c r="A720" s="10"/>
      <c r="B720" s="10"/>
      <c r="C720" s="10"/>
    </row>
    <row r="721" spans="1:3" ht="13" x14ac:dyDescent="0.15">
      <c r="A721" s="10"/>
      <c r="B721" s="10"/>
      <c r="C721" s="10"/>
    </row>
    <row r="722" spans="1:3" ht="13" x14ac:dyDescent="0.15">
      <c r="A722" s="10"/>
      <c r="B722" s="10"/>
      <c r="C722" s="10"/>
    </row>
    <row r="723" spans="1:3" ht="13" x14ac:dyDescent="0.15">
      <c r="A723" s="10"/>
      <c r="B723" s="10"/>
      <c r="C723" s="10"/>
    </row>
    <row r="724" spans="1:3" ht="13" x14ac:dyDescent="0.15">
      <c r="A724" s="10"/>
      <c r="B724" s="10"/>
      <c r="C724" s="10"/>
    </row>
    <row r="725" spans="1:3" ht="13" x14ac:dyDescent="0.15">
      <c r="A725" s="10"/>
      <c r="B725" s="10"/>
      <c r="C725" s="10"/>
    </row>
    <row r="726" spans="1:3" ht="13" x14ac:dyDescent="0.15">
      <c r="A726" s="10"/>
      <c r="B726" s="10"/>
      <c r="C726" s="10"/>
    </row>
    <row r="727" spans="1:3" ht="13" x14ac:dyDescent="0.15">
      <c r="A727" s="10"/>
      <c r="B727" s="10"/>
      <c r="C727" s="10"/>
    </row>
    <row r="728" spans="1:3" ht="13" x14ac:dyDescent="0.15">
      <c r="A728" s="10"/>
      <c r="B728" s="10"/>
      <c r="C728" s="10"/>
    </row>
    <row r="729" spans="1:3" ht="13" x14ac:dyDescent="0.15">
      <c r="A729" s="10"/>
      <c r="B729" s="10"/>
      <c r="C729" s="10"/>
    </row>
    <row r="730" spans="1:3" ht="13" x14ac:dyDescent="0.15">
      <c r="A730" s="10"/>
      <c r="B730" s="10"/>
      <c r="C730" s="10"/>
    </row>
    <row r="731" spans="1:3" ht="13" x14ac:dyDescent="0.15">
      <c r="A731" s="10"/>
      <c r="B731" s="10"/>
      <c r="C731" s="10"/>
    </row>
    <row r="732" spans="1:3" ht="13" x14ac:dyDescent="0.15">
      <c r="A732" s="10"/>
      <c r="B732" s="10"/>
      <c r="C732" s="10"/>
    </row>
    <row r="733" spans="1:3" ht="13" x14ac:dyDescent="0.15">
      <c r="A733" s="10"/>
      <c r="B733" s="10"/>
      <c r="C733" s="10"/>
    </row>
    <row r="734" spans="1:3" ht="13" x14ac:dyDescent="0.15">
      <c r="A734" s="10"/>
      <c r="B734" s="10"/>
      <c r="C734" s="10"/>
    </row>
    <row r="735" spans="1:3" ht="13" x14ac:dyDescent="0.15">
      <c r="A735" s="10"/>
      <c r="B735" s="10"/>
      <c r="C735" s="10"/>
    </row>
    <row r="736" spans="1:3" ht="13" x14ac:dyDescent="0.15">
      <c r="A736" s="10"/>
      <c r="B736" s="10"/>
      <c r="C736" s="10"/>
    </row>
    <row r="737" spans="1:3" ht="13" x14ac:dyDescent="0.15">
      <c r="A737" s="10"/>
      <c r="B737" s="10"/>
      <c r="C737" s="10"/>
    </row>
    <row r="738" spans="1:3" ht="13" x14ac:dyDescent="0.15">
      <c r="A738" s="10"/>
      <c r="B738" s="10"/>
      <c r="C738" s="10"/>
    </row>
    <row r="739" spans="1:3" ht="13" x14ac:dyDescent="0.15">
      <c r="A739" s="10"/>
      <c r="B739" s="10"/>
      <c r="C739" s="10"/>
    </row>
    <row r="740" spans="1:3" ht="13" x14ac:dyDescent="0.15">
      <c r="A740" s="10"/>
      <c r="B740" s="10"/>
      <c r="C740" s="10"/>
    </row>
    <row r="741" spans="1:3" ht="13" x14ac:dyDescent="0.15">
      <c r="A741" s="10"/>
      <c r="B741" s="10"/>
      <c r="C741" s="10"/>
    </row>
    <row r="742" spans="1:3" ht="13" x14ac:dyDescent="0.15">
      <c r="A742" s="10"/>
      <c r="B742" s="10"/>
      <c r="C742" s="10"/>
    </row>
    <row r="743" spans="1:3" ht="13" x14ac:dyDescent="0.15">
      <c r="A743" s="10"/>
      <c r="B743" s="10"/>
      <c r="C743" s="10"/>
    </row>
    <row r="744" spans="1:3" ht="13" x14ac:dyDescent="0.15">
      <c r="A744" s="10"/>
      <c r="B744" s="10"/>
      <c r="C744" s="10"/>
    </row>
    <row r="745" spans="1:3" ht="13" x14ac:dyDescent="0.15">
      <c r="A745" s="10"/>
      <c r="B745" s="10"/>
      <c r="C745" s="10"/>
    </row>
    <row r="746" spans="1:3" ht="13" x14ac:dyDescent="0.15">
      <c r="A746" s="10"/>
      <c r="B746" s="10"/>
      <c r="C746" s="10"/>
    </row>
    <row r="747" spans="1:3" ht="13" x14ac:dyDescent="0.15">
      <c r="A747" s="10"/>
      <c r="B747" s="10"/>
      <c r="C747" s="10"/>
    </row>
    <row r="748" spans="1:3" ht="13" x14ac:dyDescent="0.15">
      <c r="A748" s="10"/>
      <c r="B748" s="10"/>
      <c r="C748" s="10"/>
    </row>
    <row r="749" spans="1:3" ht="13" x14ac:dyDescent="0.15">
      <c r="A749" s="10"/>
      <c r="B749" s="10"/>
      <c r="C749" s="10"/>
    </row>
    <row r="750" spans="1:3" ht="13" x14ac:dyDescent="0.15">
      <c r="A750" s="10"/>
      <c r="B750" s="10"/>
      <c r="C750" s="10"/>
    </row>
    <row r="751" spans="1:3" ht="13" x14ac:dyDescent="0.15">
      <c r="A751" s="10"/>
      <c r="B751" s="10"/>
      <c r="C751" s="10"/>
    </row>
    <row r="752" spans="1:3" ht="13" x14ac:dyDescent="0.15">
      <c r="A752" s="10"/>
      <c r="B752" s="10"/>
      <c r="C752" s="10"/>
    </row>
    <row r="753" spans="1:3" ht="13" x14ac:dyDescent="0.15">
      <c r="A753" s="10"/>
      <c r="B753" s="10"/>
      <c r="C753" s="10"/>
    </row>
    <row r="754" spans="1:3" ht="13" x14ac:dyDescent="0.15">
      <c r="A754" s="10"/>
      <c r="B754" s="10"/>
      <c r="C754" s="10"/>
    </row>
    <row r="755" spans="1:3" ht="13" x14ac:dyDescent="0.15">
      <c r="A755" s="10"/>
      <c r="B755" s="10"/>
      <c r="C755" s="10"/>
    </row>
    <row r="756" spans="1:3" ht="13" x14ac:dyDescent="0.15">
      <c r="A756" s="10"/>
      <c r="B756" s="10"/>
      <c r="C756" s="10"/>
    </row>
    <row r="757" spans="1:3" ht="13" x14ac:dyDescent="0.15">
      <c r="A757" s="10"/>
      <c r="B757" s="10"/>
      <c r="C757" s="10"/>
    </row>
    <row r="758" spans="1:3" ht="13" x14ac:dyDescent="0.15">
      <c r="A758" s="10"/>
      <c r="B758" s="10"/>
      <c r="C758" s="10"/>
    </row>
    <row r="759" spans="1:3" ht="13" x14ac:dyDescent="0.15">
      <c r="A759" s="10"/>
      <c r="B759" s="10"/>
      <c r="C759" s="10"/>
    </row>
    <row r="760" spans="1:3" ht="13" x14ac:dyDescent="0.15">
      <c r="A760" s="10"/>
      <c r="B760" s="10"/>
      <c r="C760" s="10"/>
    </row>
    <row r="761" spans="1:3" ht="13" x14ac:dyDescent="0.15">
      <c r="A761" s="10"/>
      <c r="B761" s="10"/>
      <c r="C761" s="10"/>
    </row>
    <row r="762" spans="1:3" ht="13" x14ac:dyDescent="0.15">
      <c r="A762" s="10"/>
      <c r="B762" s="10"/>
      <c r="C762" s="10"/>
    </row>
    <row r="763" spans="1:3" ht="13" x14ac:dyDescent="0.15">
      <c r="A763" s="10"/>
      <c r="B763" s="10"/>
      <c r="C763" s="10"/>
    </row>
    <row r="764" spans="1:3" ht="13" x14ac:dyDescent="0.15">
      <c r="A764" s="10"/>
      <c r="B764" s="10"/>
      <c r="C764" s="10"/>
    </row>
    <row r="765" spans="1:3" ht="13" x14ac:dyDescent="0.15">
      <c r="A765" s="10"/>
      <c r="B765" s="10"/>
      <c r="C765" s="10"/>
    </row>
    <row r="766" spans="1:3" ht="13" x14ac:dyDescent="0.15">
      <c r="A766" s="10"/>
      <c r="B766" s="10"/>
      <c r="C766" s="10"/>
    </row>
    <row r="767" spans="1:3" ht="13" x14ac:dyDescent="0.15">
      <c r="A767" s="10"/>
      <c r="B767" s="10"/>
      <c r="C767" s="10"/>
    </row>
    <row r="768" spans="1:3" ht="13" x14ac:dyDescent="0.15">
      <c r="A768" s="10"/>
      <c r="B768" s="10"/>
      <c r="C768" s="10"/>
    </row>
    <row r="769" spans="1:3" ht="13" x14ac:dyDescent="0.15">
      <c r="A769" s="10"/>
      <c r="B769" s="10"/>
      <c r="C769" s="10"/>
    </row>
    <row r="770" spans="1:3" ht="13" x14ac:dyDescent="0.15">
      <c r="A770" s="10"/>
      <c r="B770" s="10"/>
      <c r="C770" s="10"/>
    </row>
    <row r="771" spans="1:3" ht="13" x14ac:dyDescent="0.15">
      <c r="A771" s="10"/>
      <c r="B771" s="10"/>
      <c r="C771" s="10"/>
    </row>
    <row r="772" spans="1:3" ht="13" x14ac:dyDescent="0.15">
      <c r="A772" s="10"/>
      <c r="B772" s="10"/>
      <c r="C772" s="10"/>
    </row>
    <row r="773" spans="1:3" ht="13" x14ac:dyDescent="0.15">
      <c r="A773" s="10"/>
      <c r="B773" s="10"/>
      <c r="C773" s="10"/>
    </row>
    <row r="774" spans="1:3" ht="13" x14ac:dyDescent="0.15">
      <c r="A774" s="10"/>
      <c r="B774" s="10"/>
      <c r="C774" s="10"/>
    </row>
    <row r="775" spans="1:3" ht="13" x14ac:dyDescent="0.15">
      <c r="A775" s="10"/>
      <c r="B775" s="10"/>
      <c r="C775" s="10"/>
    </row>
    <row r="776" spans="1:3" ht="13" x14ac:dyDescent="0.15">
      <c r="A776" s="10"/>
      <c r="B776" s="10"/>
      <c r="C776" s="10"/>
    </row>
    <row r="777" spans="1:3" ht="13" x14ac:dyDescent="0.15">
      <c r="A777" s="10"/>
      <c r="B777" s="10"/>
      <c r="C777" s="10"/>
    </row>
    <row r="778" spans="1:3" ht="13" x14ac:dyDescent="0.15">
      <c r="A778" s="10"/>
      <c r="B778" s="10"/>
      <c r="C778" s="10"/>
    </row>
    <row r="779" spans="1:3" ht="13" x14ac:dyDescent="0.15">
      <c r="A779" s="10"/>
      <c r="B779" s="10"/>
      <c r="C779" s="10"/>
    </row>
    <row r="780" spans="1:3" ht="13" x14ac:dyDescent="0.15">
      <c r="A780" s="10"/>
      <c r="B780" s="10"/>
      <c r="C780" s="10"/>
    </row>
    <row r="781" spans="1:3" ht="13" x14ac:dyDescent="0.15">
      <c r="A781" s="10"/>
      <c r="B781" s="10"/>
      <c r="C781" s="10"/>
    </row>
    <row r="782" spans="1:3" ht="13" x14ac:dyDescent="0.15">
      <c r="A782" s="10"/>
      <c r="B782" s="10"/>
      <c r="C782" s="10"/>
    </row>
    <row r="783" spans="1:3" ht="13" x14ac:dyDescent="0.15">
      <c r="A783" s="10"/>
      <c r="B783" s="10"/>
      <c r="C783" s="10"/>
    </row>
    <row r="784" spans="1:3" ht="13" x14ac:dyDescent="0.15">
      <c r="A784" s="10"/>
      <c r="B784" s="10"/>
      <c r="C784" s="10"/>
    </row>
    <row r="785" spans="1:3" ht="13" x14ac:dyDescent="0.15">
      <c r="A785" s="10"/>
      <c r="B785" s="10"/>
      <c r="C785" s="10"/>
    </row>
    <row r="786" spans="1:3" ht="13" x14ac:dyDescent="0.15">
      <c r="A786" s="10"/>
      <c r="B786" s="10"/>
      <c r="C786" s="10"/>
    </row>
    <row r="787" spans="1:3" ht="13" x14ac:dyDescent="0.15">
      <c r="A787" s="10"/>
      <c r="B787" s="10"/>
      <c r="C787" s="10"/>
    </row>
    <row r="788" spans="1:3" ht="13" x14ac:dyDescent="0.15">
      <c r="A788" s="10"/>
      <c r="B788" s="10"/>
      <c r="C788" s="10"/>
    </row>
    <row r="789" spans="1:3" ht="13" x14ac:dyDescent="0.15">
      <c r="A789" s="10"/>
      <c r="B789" s="10"/>
      <c r="C789" s="10"/>
    </row>
    <row r="790" spans="1:3" ht="13" x14ac:dyDescent="0.15">
      <c r="A790" s="10"/>
      <c r="B790" s="10"/>
      <c r="C790" s="10"/>
    </row>
    <row r="791" spans="1:3" ht="13" x14ac:dyDescent="0.15">
      <c r="A791" s="10"/>
      <c r="B791" s="10"/>
      <c r="C791" s="10"/>
    </row>
    <row r="792" spans="1:3" ht="13" x14ac:dyDescent="0.15">
      <c r="A792" s="10"/>
      <c r="B792" s="10"/>
      <c r="C792" s="10"/>
    </row>
    <row r="793" spans="1:3" ht="13" x14ac:dyDescent="0.15">
      <c r="A793" s="10"/>
      <c r="B793" s="10"/>
      <c r="C793" s="10"/>
    </row>
    <row r="794" spans="1:3" ht="13" x14ac:dyDescent="0.15">
      <c r="A794" s="10"/>
      <c r="B794" s="10"/>
      <c r="C794" s="10"/>
    </row>
    <row r="795" spans="1:3" ht="13" x14ac:dyDescent="0.15">
      <c r="A795" s="10"/>
      <c r="B795" s="10"/>
      <c r="C795" s="10"/>
    </row>
    <row r="796" spans="1:3" ht="13" x14ac:dyDescent="0.15">
      <c r="A796" s="10"/>
      <c r="B796" s="10"/>
      <c r="C796" s="10"/>
    </row>
    <row r="797" spans="1:3" ht="13" x14ac:dyDescent="0.15">
      <c r="A797" s="10"/>
      <c r="B797" s="10"/>
      <c r="C797" s="10"/>
    </row>
    <row r="798" spans="1:3" ht="13" x14ac:dyDescent="0.15">
      <c r="A798" s="10"/>
      <c r="B798" s="10"/>
      <c r="C798" s="10"/>
    </row>
    <row r="799" spans="1:3" ht="13" x14ac:dyDescent="0.15">
      <c r="A799" s="10"/>
      <c r="B799" s="10"/>
      <c r="C799" s="10"/>
    </row>
    <row r="800" spans="1:3" ht="13" x14ac:dyDescent="0.15">
      <c r="A800" s="10"/>
      <c r="B800" s="10"/>
      <c r="C800" s="10"/>
    </row>
    <row r="801" spans="1:3" ht="13" x14ac:dyDescent="0.15">
      <c r="A801" s="10"/>
      <c r="B801" s="10"/>
      <c r="C801" s="10"/>
    </row>
    <row r="802" spans="1:3" ht="13" x14ac:dyDescent="0.15">
      <c r="A802" s="10"/>
      <c r="B802" s="10"/>
      <c r="C802" s="10"/>
    </row>
    <row r="803" spans="1:3" ht="13" x14ac:dyDescent="0.15">
      <c r="A803" s="10"/>
      <c r="B803" s="10"/>
      <c r="C803" s="10"/>
    </row>
    <row r="804" spans="1:3" ht="13" x14ac:dyDescent="0.15">
      <c r="A804" s="10"/>
      <c r="B804" s="10"/>
      <c r="C804" s="10"/>
    </row>
    <row r="805" spans="1:3" ht="13" x14ac:dyDescent="0.15">
      <c r="A805" s="10"/>
      <c r="B805" s="10"/>
      <c r="C805" s="10"/>
    </row>
    <row r="806" spans="1:3" ht="13" x14ac:dyDescent="0.15">
      <c r="A806" s="10"/>
      <c r="B806" s="10"/>
      <c r="C806" s="10"/>
    </row>
    <row r="807" spans="1:3" ht="13" x14ac:dyDescent="0.15">
      <c r="A807" s="10"/>
      <c r="B807" s="10"/>
      <c r="C807" s="10"/>
    </row>
    <row r="808" spans="1:3" ht="13" x14ac:dyDescent="0.15">
      <c r="A808" s="10"/>
      <c r="B808" s="10"/>
      <c r="C808" s="10"/>
    </row>
    <row r="809" spans="1:3" ht="13" x14ac:dyDescent="0.15">
      <c r="A809" s="10"/>
      <c r="B809" s="10"/>
      <c r="C809" s="10"/>
    </row>
    <row r="810" spans="1:3" ht="13" x14ac:dyDescent="0.15">
      <c r="A810" s="10"/>
      <c r="B810" s="10"/>
      <c r="C810" s="10"/>
    </row>
    <row r="811" spans="1:3" ht="13" x14ac:dyDescent="0.15">
      <c r="A811" s="10"/>
      <c r="B811" s="10"/>
      <c r="C811" s="10"/>
    </row>
    <row r="812" spans="1:3" ht="13" x14ac:dyDescent="0.15">
      <c r="A812" s="10"/>
      <c r="B812" s="10"/>
      <c r="C812" s="10"/>
    </row>
    <row r="813" spans="1:3" ht="13" x14ac:dyDescent="0.15">
      <c r="A813" s="10"/>
      <c r="B813" s="10"/>
      <c r="C813" s="10"/>
    </row>
    <row r="814" spans="1:3" ht="13" x14ac:dyDescent="0.15">
      <c r="A814" s="10"/>
      <c r="B814" s="10"/>
      <c r="C814" s="10"/>
    </row>
    <row r="815" spans="1:3" ht="13" x14ac:dyDescent="0.15">
      <c r="A815" s="10"/>
      <c r="B815" s="10"/>
      <c r="C815" s="10"/>
    </row>
    <row r="816" spans="1:3" ht="13" x14ac:dyDescent="0.15">
      <c r="A816" s="10"/>
      <c r="B816" s="10"/>
      <c r="C816" s="10"/>
    </row>
    <row r="817" spans="1:3" ht="13" x14ac:dyDescent="0.15">
      <c r="A817" s="10"/>
      <c r="B817" s="10"/>
      <c r="C817" s="10"/>
    </row>
    <row r="818" spans="1:3" ht="13" x14ac:dyDescent="0.15">
      <c r="A818" s="10"/>
      <c r="B818" s="10"/>
      <c r="C818" s="10"/>
    </row>
    <row r="819" spans="1:3" ht="13" x14ac:dyDescent="0.15">
      <c r="A819" s="10"/>
      <c r="B819" s="10"/>
      <c r="C819" s="10"/>
    </row>
    <row r="820" spans="1:3" ht="13" x14ac:dyDescent="0.15">
      <c r="A820" s="10"/>
      <c r="B820" s="10"/>
      <c r="C820" s="10"/>
    </row>
    <row r="821" spans="1:3" ht="13" x14ac:dyDescent="0.15">
      <c r="A821" s="10"/>
      <c r="B821" s="10"/>
      <c r="C821" s="10"/>
    </row>
    <row r="822" spans="1:3" ht="13" x14ac:dyDescent="0.15">
      <c r="A822" s="10"/>
      <c r="B822" s="10"/>
      <c r="C822" s="10"/>
    </row>
    <row r="823" spans="1:3" ht="13" x14ac:dyDescent="0.15">
      <c r="A823" s="10"/>
      <c r="B823" s="10"/>
      <c r="C823" s="10"/>
    </row>
    <row r="824" spans="1:3" ht="13" x14ac:dyDescent="0.15">
      <c r="A824" s="10"/>
      <c r="B824" s="10"/>
      <c r="C824" s="10"/>
    </row>
    <row r="825" spans="1:3" ht="13" x14ac:dyDescent="0.15">
      <c r="A825" s="10"/>
      <c r="B825" s="10"/>
      <c r="C825" s="10"/>
    </row>
    <row r="826" spans="1:3" ht="13" x14ac:dyDescent="0.15">
      <c r="A826" s="10"/>
      <c r="B826" s="10"/>
      <c r="C826" s="10"/>
    </row>
    <row r="827" spans="1:3" ht="13" x14ac:dyDescent="0.15">
      <c r="A827" s="10"/>
      <c r="B827" s="10"/>
      <c r="C827" s="10"/>
    </row>
    <row r="828" spans="1:3" ht="13" x14ac:dyDescent="0.15">
      <c r="A828" s="10"/>
      <c r="B828" s="10"/>
      <c r="C828" s="10"/>
    </row>
    <row r="829" spans="1:3" ht="13" x14ac:dyDescent="0.15">
      <c r="A829" s="10"/>
      <c r="B829" s="10"/>
      <c r="C829" s="10"/>
    </row>
    <row r="830" spans="1:3" ht="13" x14ac:dyDescent="0.15">
      <c r="A830" s="10"/>
      <c r="B830" s="10"/>
      <c r="C830" s="10"/>
    </row>
    <row r="831" spans="1:3" ht="13" x14ac:dyDescent="0.15">
      <c r="A831" s="10"/>
      <c r="B831" s="10"/>
      <c r="C831" s="10"/>
    </row>
    <row r="832" spans="1:3" ht="13" x14ac:dyDescent="0.15">
      <c r="A832" s="10"/>
      <c r="B832" s="10"/>
      <c r="C832" s="10"/>
    </row>
    <row r="833" spans="1:3" ht="13" x14ac:dyDescent="0.15">
      <c r="A833" s="10"/>
      <c r="B833" s="10"/>
      <c r="C833" s="10"/>
    </row>
    <row r="834" spans="1:3" ht="13" x14ac:dyDescent="0.15">
      <c r="A834" s="10"/>
      <c r="B834" s="10"/>
      <c r="C834" s="10"/>
    </row>
    <row r="835" spans="1:3" ht="13" x14ac:dyDescent="0.15">
      <c r="A835" s="10"/>
      <c r="B835" s="10"/>
      <c r="C835" s="10"/>
    </row>
    <row r="836" spans="1:3" ht="13" x14ac:dyDescent="0.15">
      <c r="A836" s="10"/>
      <c r="B836" s="10"/>
      <c r="C836" s="10"/>
    </row>
    <row r="837" spans="1:3" ht="13" x14ac:dyDescent="0.15">
      <c r="A837" s="10"/>
      <c r="B837" s="10"/>
      <c r="C837" s="10"/>
    </row>
    <row r="838" spans="1:3" ht="13" x14ac:dyDescent="0.15">
      <c r="A838" s="10"/>
      <c r="B838" s="10"/>
      <c r="C838" s="10"/>
    </row>
    <row r="839" spans="1:3" ht="13" x14ac:dyDescent="0.15">
      <c r="A839" s="10"/>
      <c r="B839" s="10"/>
      <c r="C839" s="10"/>
    </row>
    <row r="840" spans="1:3" ht="13" x14ac:dyDescent="0.15">
      <c r="A840" s="10"/>
      <c r="B840" s="10"/>
      <c r="C840" s="10"/>
    </row>
    <row r="841" spans="1:3" ht="13" x14ac:dyDescent="0.15">
      <c r="A841" s="10"/>
      <c r="B841" s="10"/>
      <c r="C841" s="10"/>
    </row>
    <row r="842" spans="1:3" ht="13" x14ac:dyDescent="0.15">
      <c r="A842" s="10"/>
      <c r="B842" s="10"/>
      <c r="C842" s="10"/>
    </row>
    <row r="843" spans="1:3" ht="13" x14ac:dyDescent="0.15">
      <c r="A843" s="10"/>
      <c r="B843" s="10"/>
      <c r="C843" s="10"/>
    </row>
    <row r="844" spans="1:3" ht="13" x14ac:dyDescent="0.15">
      <c r="A844" s="10"/>
      <c r="B844" s="10"/>
      <c r="C844" s="10"/>
    </row>
    <row r="845" spans="1:3" ht="13" x14ac:dyDescent="0.15">
      <c r="A845" s="10"/>
      <c r="B845" s="10"/>
      <c r="C845" s="10"/>
    </row>
    <row r="846" spans="1:3" ht="13" x14ac:dyDescent="0.15">
      <c r="A846" s="10"/>
      <c r="B846" s="10"/>
      <c r="C846" s="10"/>
    </row>
    <row r="847" spans="1:3" ht="13" x14ac:dyDescent="0.15">
      <c r="A847" s="10"/>
      <c r="B847" s="10"/>
      <c r="C847" s="10"/>
    </row>
    <row r="848" spans="1:3" ht="13" x14ac:dyDescent="0.15">
      <c r="A848" s="10"/>
      <c r="B848" s="10"/>
      <c r="C848" s="10"/>
    </row>
    <row r="849" spans="1:3" ht="13" x14ac:dyDescent="0.15">
      <c r="A849" s="10"/>
      <c r="B849" s="10"/>
      <c r="C849" s="10"/>
    </row>
    <row r="850" spans="1:3" ht="13" x14ac:dyDescent="0.15">
      <c r="A850" s="10"/>
      <c r="B850" s="10"/>
      <c r="C850" s="10"/>
    </row>
    <row r="851" spans="1:3" ht="13" x14ac:dyDescent="0.15">
      <c r="A851" s="10"/>
      <c r="B851" s="10"/>
      <c r="C851" s="10"/>
    </row>
    <row r="852" spans="1:3" ht="13" x14ac:dyDescent="0.15">
      <c r="A852" s="10"/>
      <c r="B852" s="10"/>
      <c r="C852" s="10"/>
    </row>
    <row r="853" spans="1:3" ht="13" x14ac:dyDescent="0.15">
      <c r="A853" s="10"/>
      <c r="B853" s="10"/>
      <c r="C853" s="10"/>
    </row>
    <row r="854" spans="1:3" ht="13" x14ac:dyDescent="0.15">
      <c r="A854" s="10"/>
      <c r="B854" s="10"/>
      <c r="C854" s="10"/>
    </row>
    <row r="855" spans="1:3" ht="13" x14ac:dyDescent="0.15">
      <c r="A855" s="10"/>
      <c r="B855" s="10"/>
      <c r="C855" s="10"/>
    </row>
    <row r="856" spans="1:3" ht="13" x14ac:dyDescent="0.15">
      <c r="A856" s="10"/>
      <c r="B856" s="10"/>
      <c r="C856" s="10"/>
    </row>
    <row r="857" spans="1:3" ht="13" x14ac:dyDescent="0.15">
      <c r="A857" s="10"/>
      <c r="B857" s="10"/>
      <c r="C857" s="10"/>
    </row>
    <row r="858" spans="1:3" ht="13" x14ac:dyDescent="0.15">
      <c r="A858" s="10"/>
      <c r="B858" s="10"/>
      <c r="C858" s="10"/>
    </row>
    <row r="859" spans="1:3" ht="13" x14ac:dyDescent="0.15">
      <c r="A859" s="10"/>
      <c r="B859" s="10"/>
      <c r="C859" s="10"/>
    </row>
    <row r="860" spans="1:3" ht="13" x14ac:dyDescent="0.15">
      <c r="A860" s="10"/>
      <c r="B860" s="10"/>
      <c r="C860" s="10"/>
    </row>
    <row r="861" spans="1:3" ht="13" x14ac:dyDescent="0.15">
      <c r="A861" s="10"/>
      <c r="B861" s="10"/>
      <c r="C861" s="10"/>
    </row>
    <row r="862" spans="1:3" ht="13" x14ac:dyDescent="0.15">
      <c r="A862" s="10"/>
      <c r="B862" s="10"/>
      <c r="C862" s="10"/>
    </row>
    <row r="863" spans="1:3" ht="13" x14ac:dyDescent="0.15">
      <c r="A863" s="10"/>
      <c r="B863" s="10"/>
      <c r="C863" s="10"/>
    </row>
    <row r="864" spans="1:3" ht="13" x14ac:dyDescent="0.15">
      <c r="A864" s="10"/>
      <c r="B864" s="10"/>
      <c r="C864" s="10"/>
    </row>
    <row r="865" spans="1:3" ht="13" x14ac:dyDescent="0.15">
      <c r="A865" s="10"/>
      <c r="B865" s="10"/>
      <c r="C865" s="10"/>
    </row>
    <row r="866" spans="1:3" ht="13" x14ac:dyDescent="0.15">
      <c r="A866" s="10"/>
      <c r="B866" s="10"/>
      <c r="C866" s="10"/>
    </row>
    <row r="867" spans="1:3" ht="13" x14ac:dyDescent="0.15">
      <c r="A867" s="10"/>
      <c r="B867" s="10"/>
      <c r="C867" s="10"/>
    </row>
    <row r="868" spans="1:3" ht="13" x14ac:dyDescent="0.15">
      <c r="A868" s="10"/>
      <c r="B868" s="10"/>
      <c r="C868" s="10"/>
    </row>
    <row r="869" spans="1:3" ht="13" x14ac:dyDescent="0.15">
      <c r="A869" s="10"/>
      <c r="B869" s="10"/>
      <c r="C869" s="10"/>
    </row>
    <row r="870" spans="1:3" ht="13" x14ac:dyDescent="0.15">
      <c r="A870" s="10"/>
      <c r="B870" s="10"/>
      <c r="C870" s="10"/>
    </row>
    <row r="871" spans="1:3" ht="13" x14ac:dyDescent="0.15">
      <c r="A871" s="10"/>
      <c r="B871" s="10"/>
      <c r="C871" s="10"/>
    </row>
    <row r="872" spans="1:3" ht="13" x14ac:dyDescent="0.15">
      <c r="A872" s="10"/>
      <c r="B872" s="10"/>
      <c r="C872" s="10"/>
    </row>
    <row r="873" spans="1:3" ht="13" x14ac:dyDescent="0.15">
      <c r="A873" s="10"/>
      <c r="B873" s="10"/>
      <c r="C873" s="10"/>
    </row>
    <row r="874" spans="1:3" ht="13" x14ac:dyDescent="0.15">
      <c r="A874" s="10"/>
      <c r="B874" s="10"/>
      <c r="C874" s="10"/>
    </row>
    <row r="875" spans="1:3" ht="13" x14ac:dyDescent="0.15">
      <c r="A875" s="10"/>
      <c r="B875" s="10"/>
      <c r="C875" s="10"/>
    </row>
    <row r="876" spans="1:3" ht="13" x14ac:dyDescent="0.15">
      <c r="A876" s="10"/>
      <c r="B876" s="10"/>
      <c r="C876" s="10"/>
    </row>
    <row r="877" spans="1:3" ht="13" x14ac:dyDescent="0.15">
      <c r="A877" s="10"/>
      <c r="B877" s="10"/>
      <c r="C877" s="10"/>
    </row>
    <row r="878" spans="1:3" ht="13" x14ac:dyDescent="0.15">
      <c r="A878" s="10"/>
      <c r="B878" s="10"/>
      <c r="C878" s="10"/>
    </row>
    <row r="879" spans="1:3" ht="13" x14ac:dyDescent="0.15">
      <c r="A879" s="10"/>
      <c r="B879" s="10"/>
      <c r="C879" s="10"/>
    </row>
    <row r="880" spans="1:3" ht="13" x14ac:dyDescent="0.15">
      <c r="A880" s="10"/>
      <c r="B880" s="10"/>
      <c r="C880" s="10"/>
    </row>
    <row r="881" spans="1:3" ht="13" x14ac:dyDescent="0.15">
      <c r="A881" s="10"/>
      <c r="B881" s="10"/>
      <c r="C881" s="10"/>
    </row>
    <row r="882" spans="1:3" ht="13" x14ac:dyDescent="0.15">
      <c r="A882" s="10"/>
      <c r="B882" s="10"/>
      <c r="C882" s="10"/>
    </row>
    <row r="883" spans="1:3" ht="13" x14ac:dyDescent="0.15">
      <c r="A883" s="10"/>
      <c r="B883" s="10"/>
      <c r="C883" s="10"/>
    </row>
    <row r="884" spans="1:3" ht="13" x14ac:dyDescent="0.15">
      <c r="A884" s="10"/>
      <c r="B884" s="10"/>
      <c r="C884" s="10"/>
    </row>
    <row r="885" spans="1:3" ht="13" x14ac:dyDescent="0.15">
      <c r="A885" s="10"/>
      <c r="B885" s="10"/>
      <c r="C885" s="10"/>
    </row>
    <row r="886" spans="1:3" ht="13" x14ac:dyDescent="0.15">
      <c r="A886" s="10"/>
      <c r="B886" s="10"/>
      <c r="C886" s="10"/>
    </row>
    <row r="887" spans="1:3" ht="13" x14ac:dyDescent="0.15">
      <c r="A887" s="10"/>
      <c r="B887" s="10"/>
      <c r="C887" s="10"/>
    </row>
    <row r="888" spans="1:3" ht="13" x14ac:dyDescent="0.15">
      <c r="A888" s="10"/>
      <c r="B888" s="10"/>
      <c r="C888" s="10"/>
    </row>
    <row r="889" spans="1:3" ht="13" x14ac:dyDescent="0.15">
      <c r="A889" s="10"/>
      <c r="B889" s="10"/>
      <c r="C889" s="10"/>
    </row>
    <row r="890" spans="1:3" ht="13" x14ac:dyDescent="0.15">
      <c r="A890" s="10"/>
      <c r="B890" s="10"/>
      <c r="C890" s="10"/>
    </row>
    <row r="891" spans="1:3" ht="13" x14ac:dyDescent="0.15">
      <c r="A891" s="10"/>
      <c r="B891" s="10"/>
      <c r="C891" s="10"/>
    </row>
    <row r="892" spans="1:3" ht="13" x14ac:dyDescent="0.15">
      <c r="A892" s="10"/>
      <c r="B892" s="10"/>
      <c r="C892" s="10"/>
    </row>
    <row r="893" spans="1:3" ht="13" x14ac:dyDescent="0.15">
      <c r="A893" s="10"/>
      <c r="B893" s="10"/>
      <c r="C893" s="10"/>
    </row>
    <row r="894" spans="1:3" ht="13" x14ac:dyDescent="0.15">
      <c r="A894" s="10"/>
      <c r="B894" s="10"/>
      <c r="C894" s="10"/>
    </row>
    <row r="895" spans="1:3" ht="13" x14ac:dyDescent="0.15">
      <c r="A895" s="10"/>
      <c r="B895" s="10"/>
      <c r="C895" s="10"/>
    </row>
    <row r="896" spans="1:3" ht="13" x14ac:dyDescent="0.15">
      <c r="A896" s="10"/>
      <c r="B896" s="10"/>
      <c r="C896" s="10"/>
    </row>
    <row r="897" spans="1:3" ht="13" x14ac:dyDescent="0.15">
      <c r="A897" s="10"/>
      <c r="B897" s="10"/>
      <c r="C897" s="10"/>
    </row>
    <row r="898" spans="1:3" ht="13" x14ac:dyDescent="0.15">
      <c r="A898" s="10"/>
      <c r="B898" s="10"/>
      <c r="C898" s="10"/>
    </row>
    <row r="899" spans="1:3" ht="13" x14ac:dyDescent="0.15">
      <c r="A899" s="10"/>
      <c r="B899" s="10"/>
      <c r="C899" s="10"/>
    </row>
    <row r="900" spans="1:3" ht="13" x14ac:dyDescent="0.15">
      <c r="A900" s="10"/>
      <c r="B900" s="10"/>
      <c r="C900" s="10"/>
    </row>
    <row r="901" spans="1:3" ht="13" x14ac:dyDescent="0.15">
      <c r="A901" s="10"/>
      <c r="B901" s="10"/>
      <c r="C901" s="10"/>
    </row>
    <row r="902" spans="1:3" ht="13" x14ac:dyDescent="0.15">
      <c r="A902" s="10"/>
      <c r="B902" s="10"/>
      <c r="C902" s="10"/>
    </row>
    <row r="903" spans="1:3" ht="13" x14ac:dyDescent="0.15">
      <c r="A903" s="10"/>
      <c r="B903" s="10"/>
      <c r="C903" s="10"/>
    </row>
    <row r="904" spans="1:3" ht="13" x14ac:dyDescent="0.15">
      <c r="A904" s="10"/>
      <c r="B904" s="10"/>
      <c r="C904" s="10"/>
    </row>
    <row r="905" spans="1:3" ht="13" x14ac:dyDescent="0.15">
      <c r="A905" s="10"/>
      <c r="B905" s="10"/>
      <c r="C905" s="10"/>
    </row>
    <row r="906" spans="1:3" ht="13" x14ac:dyDescent="0.15">
      <c r="A906" s="10"/>
      <c r="B906" s="10"/>
      <c r="C906" s="10"/>
    </row>
    <row r="907" spans="1:3" ht="13" x14ac:dyDescent="0.15">
      <c r="A907" s="10"/>
      <c r="B907" s="10"/>
      <c r="C907" s="10"/>
    </row>
    <row r="908" spans="1:3" ht="13" x14ac:dyDescent="0.15">
      <c r="A908" s="10"/>
      <c r="B908" s="10"/>
      <c r="C908" s="10"/>
    </row>
    <row r="909" spans="1:3" ht="13" x14ac:dyDescent="0.15">
      <c r="A909" s="10"/>
      <c r="B909" s="10"/>
      <c r="C909" s="10"/>
    </row>
    <row r="910" spans="1:3" ht="13" x14ac:dyDescent="0.15">
      <c r="A910" s="10"/>
      <c r="B910" s="10"/>
      <c r="C910" s="10"/>
    </row>
    <row r="911" spans="1:3" ht="13" x14ac:dyDescent="0.15">
      <c r="A911" s="10"/>
      <c r="B911" s="10"/>
      <c r="C911" s="10"/>
    </row>
    <row r="912" spans="1:3" ht="13" x14ac:dyDescent="0.15">
      <c r="A912" s="10"/>
      <c r="B912" s="10"/>
      <c r="C912" s="10"/>
    </row>
    <row r="913" spans="1:3" ht="13" x14ac:dyDescent="0.15">
      <c r="A913" s="10"/>
      <c r="B913" s="10"/>
      <c r="C913" s="10"/>
    </row>
    <row r="914" spans="1:3" ht="13" x14ac:dyDescent="0.15">
      <c r="A914" s="10"/>
      <c r="B914" s="10"/>
      <c r="C914" s="10"/>
    </row>
    <row r="915" spans="1:3" ht="13" x14ac:dyDescent="0.15">
      <c r="A915" s="10"/>
      <c r="B915" s="10"/>
      <c r="C915" s="10"/>
    </row>
    <row r="916" spans="1:3" ht="13" x14ac:dyDescent="0.15">
      <c r="A916" s="10"/>
      <c r="B916" s="10"/>
      <c r="C916" s="10"/>
    </row>
    <row r="917" spans="1:3" ht="13" x14ac:dyDescent="0.15">
      <c r="A917" s="10"/>
      <c r="B917" s="10"/>
      <c r="C917" s="10"/>
    </row>
    <row r="918" spans="1:3" ht="13" x14ac:dyDescent="0.15">
      <c r="A918" s="10"/>
      <c r="B918" s="10"/>
      <c r="C918" s="10"/>
    </row>
    <row r="919" spans="1:3" ht="13" x14ac:dyDescent="0.15">
      <c r="A919" s="10"/>
      <c r="B919" s="10"/>
      <c r="C919" s="10"/>
    </row>
    <row r="920" spans="1:3" ht="13" x14ac:dyDescent="0.15">
      <c r="A920" s="10"/>
      <c r="B920" s="10"/>
      <c r="C920" s="10"/>
    </row>
    <row r="921" spans="1:3" ht="13" x14ac:dyDescent="0.15">
      <c r="A921" s="10"/>
      <c r="B921" s="10"/>
      <c r="C921" s="10"/>
    </row>
    <row r="922" spans="1:3" ht="13" x14ac:dyDescent="0.15">
      <c r="A922" s="10"/>
      <c r="B922" s="10"/>
      <c r="C922" s="10"/>
    </row>
    <row r="923" spans="1:3" ht="13" x14ac:dyDescent="0.15">
      <c r="A923" s="10"/>
      <c r="B923" s="10"/>
      <c r="C923" s="10"/>
    </row>
    <row r="924" spans="1:3" ht="13" x14ac:dyDescent="0.15">
      <c r="A924" s="10"/>
      <c r="B924" s="10"/>
      <c r="C924" s="10"/>
    </row>
    <row r="925" spans="1:3" ht="13" x14ac:dyDescent="0.15">
      <c r="A925" s="10"/>
      <c r="B925" s="10"/>
      <c r="C925" s="10"/>
    </row>
    <row r="926" spans="1:3" ht="13" x14ac:dyDescent="0.15">
      <c r="A926" s="10"/>
      <c r="B926" s="10"/>
      <c r="C926" s="10"/>
    </row>
    <row r="927" spans="1:3" ht="13" x14ac:dyDescent="0.15">
      <c r="A927" s="10"/>
      <c r="B927" s="10"/>
      <c r="C927" s="10"/>
    </row>
    <row r="928" spans="1:3" ht="13" x14ac:dyDescent="0.15">
      <c r="A928" s="10"/>
      <c r="B928" s="10"/>
      <c r="C928" s="10"/>
    </row>
    <row r="929" spans="1:3" ht="13" x14ac:dyDescent="0.15">
      <c r="A929" s="10"/>
      <c r="B929" s="10"/>
      <c r="C929" s="10"/>
    </row>
    <row r="930" spans="1:3" ht="13" x14ac:dyDescent="0.15">
      <c r="A930" s="10"/>
      <c r="B930" s="10"/>
      <c r="C930" s="10"/>
    </row>
    <row r="931" spans="1:3" ht="13" x14ac:dyDescent="0.15">
      <c r="A931" s="10"/>
      <c r="B931" s="10"/>
      <c r="C931" s="10"/>
    </row>
    <row r="932" spans="1:3" ht="13" x14ac:dyDescent="0.15">
      <c r="A932" s="10"/>
      <c r="B932" s="10"/>
      <c r="C932" s="10"/>
    </row>
    <row r="933" spans="1:3" ht="13" x14ac:dyDescent="0.15">
      <c r="A933" s="10"/>
      <c r="B933" s="10"/>
      <c r="C933" s="10"/>
    </row>
    <row r="934" spans="1:3" ht="13" x14ac:dyDescent="0.15">
      <c r="A934" s="10"/>
      <c r="B934" s="10"/>
      <c r="C934" s="10"/>
    </row>
    <row r="935" spans="1:3" ht="13" x14ac:dyDescent="0.15">
      <c r="A935" s="10"/>
      <c r="B935" s="10"/>
      <c r="C935" s="10"/>
    </row>
    <row r="936" spans="1:3" ht="13" x14ac:dyDescent="0.15">
      <c r="A936" s="10"/>
      <c r="B936" s="10"/>
      <c r="C936" s="10"/>
    </row>
    <row r="937" spans="1:3" ht="13" x14ac:dyDescent="0.15">
      <c r="A937" s="10"/>
      <c r="B937" s="10"/>
      <c r="C937" s="10"/>
    </row>
    <row r="938" spans="1:3" ht="13" x14ac:dyDescent="0.15">
      <c r="A938" s="10"/>
      <c r="B938" s="10"/>
      <c r="C938" s="10"/>
    </row>
    <row r="939" spans="1:3" ht="13" x14ac:dyDescent="0.15">
      <c r="A939" s="10"/>
      <c r="B939" s="10"/>
      <c r="C939" s="10"/>
    </row>
    <row r="940" spans="1:3" ht="13" x14ac:dyDescent="0.15">
      <c r="A940" s="10"/>
      <c r="B940" s="10"/>
      <c r="C940" s="10"/>
    </row>
    <row r="941" spans="1:3" ht="13" x14ac:dyDescent="0.15">
      <c r="A941" s="10"/>
      <c r="B941" s="10"/>
      <c r="C941" s="10"/>
    </row>
    <row r="942" spans="1:3" ht="13" x14ac:dyDescent="0.15">
      <c r="A942" s="10"/>
      <c r="B942" s="10"/>
      <c r="C942" s="10"/>
    </row>
    <row r="943" spans="1:3" ht="13" x14ac:dyDescent="0.15">
      <c r="A943" s="10"/>
      <c r="B943" s="10"/>
      <c r="C943" s="10"/>
    </row>
    <row r="944" spans="1:3" ht="13" x14ac:dyDescent="0.15">
      <c r="A944" s="10"/>
      <c r="B944" s="10"/>
      <c r="C944" s="10"/>
    </row>
    <row r="945" spans="1:3" ht="13" x14ac:dyDescent="0.15">
      <c r="A945" s="10"/>
      <c r="B945" s="10"/>
      <c r="C945" s="10"/>
    </row>
    <row r="946" spans="1:3" ht="13" x14ac:dyDescent="0.15">
      <c r="A946" s="10"/>
      <c r="B946" s="10"/>
      <c r="C946" s="10"/>
    </row>
    <row r="947" spans="1:3" ht="13" x14ac:dyDescent="0.15">
      <c r="A947" s="10"/>
      <c r="B947" s="10"/>
      <c r="C947" s="10"/>
    </row>
    <row r="948" spans="1:3" ht="13" x14ac:dyDescent="0.15">
      <c r="A948" s="10"/>
      <c r="B948" s="10"/>
      <c r="C948" s="10"/>
    </row>
    <row r="949" spans="1:3" ht="13" x14ac:dyDescent="0.15">
      <c r="A949" s="10"/>
      <c r="B949" s="10"/>
      <c r="C949" s="10"/>
    </row>
    <row r="950" spans="1:3" ht="13" x14ac:dyDescent="0.15">
      <c r="A950" s="10"/>
      <c r="B950" s="10"/>
      <c r="C950" s="10"/>
    </row>
    <row r="951" spans="1:3" ht="13" x14ac:dyDescent="0.15">
      <c r="A951" s="10"/>
      <c r="B951" s="10"/>
      <c r="C951" s="10"/>
    </row>
    <row r="952" spans="1:3" ht="13" x14ac:dyDescent="0.15">
      <c r="A952" s="10"/>
      <c r="B952" s="10"/>
      <c r="C952" s="10"/>
    </row>
    <row r="953" spans="1:3" ht="13" x14ac:dyDescent="0.15">
      <c r="A953" s="10"/>
      <c r="B953" s="10"/>
      <c r="C953" s="10"/>
    </row>
    <row r="954" spans="1:3" ht="13" x14ac:dyDescent="0.15">
      <c r="A954" s="10"/>
      <c r="B954" s="10"/>
      <c r="C954" s="10"/>
    </row>
    <row r="955" spans="1:3" ht="13" x14ac:dyDescent="0.15">
      <c r="A955" s="10"/>
      <c r="B955" s="10"/>
      <c r="C955" s="10"/>
    </row>
    <row r="956" spans="1:3" ht="13" x14ac:dyDescent="0.15">
      <c r="A956" s="10"/>
      <c r="B956" s="10"/>
      <c r="C956" s="10"/>
    </row>
    <row r="957" spans="1:3" ht="13" x14ac:dyDescent="0.15">
      <c r="A957" s="10"/>
      <c r="B957" s="10"/>
      <c r="C957" s="10"/>
    </row>
    <row r="958" spans="1:3" ht="13" x14ac:dyDescent="0.15">
      <c r="A958" s="10"/>
      <c r="B958" s="10"/>
      <c r="C958" s="10"/>
    </row>
    <row r="959" spans="1:3" ht="13" x14ac:dyDescent="0.15">
      <c r="A959" s="10"/>
      <c r="B959" s="10"/>
      <c r="C959" s="10"/>
    </row>
    <row r="960" spans="1:3" ht="13" x14ac:dyDescent="0.15">
      <c r="A960" s="10"/>
      <c r="B960" s="10"/>
      <c r="C960" s="10"/>
    </row>
    <row r="961" spans="1:3" ht="13" x14ac:dyDescent="0.15">
      <c r="A961" s="10"/>
      <c r="B961" s="10"/>
      <c r="C961" s="10"/>
    </row>
    <row r="962" spans="1:3" ht="13" x14ac:dyDescent="0.15">
      <c r="A962" s="10"/>
      <c r="B962" s="10"/>
      <c r="C962" s="10"/>
    </row>
    <row r="963" spans="1:3" ht="13" x14ac:dyDescent="0.15">
      <c r="A963" s="10"/>
      <c r="B963" s="10"/>
      <c r="C963" s="10"/>
    </row>
    <row r="964" spans="1:3" ht="13" x14ac:dyDescent="0.15">
      <c r="A964" s="10"/>
      <c r="B964" s="10"/>
      <c r="C964" s="10"/>
    </row>
    <row r="965" spans="1:3" ht="13" x14ac:dyDescent="0.15">
      <c r="A965" s="10"/>
      <c r="B965" s="10"/>
      <c r="C965" s="10"/>
    </row>
    <row r="966" spans="1:3" ht="13" x14ac:dyDescent="0.15">
      <c r="A966" s="10"/>
      <c r="B966" s="10"/>
      <c r="C966" s="10"/>
    </row>
    <row r="967" spans="1:3" ht="13" x14ac:dyDescent="0.15">
      <c r="A967" s="10"/>
      <c r="B967" s="10"/>
      <c r="C967" s="10"/>
    </row>
    <row r="968" spans="1:3" ht="13" x14ac:dyDescent="0.15">
      <c r="A968" s="10"/>
      <c r="B968" s="10"/>
      <c r="C968" s="10"/>
    </row>
    <row r="969" spans="1:3" ht="13" x14ac:dyDescent="0.15">
      <c r="A969" s="10"/>
      <c r="B969" s="10"/>
      <c r="C969" s="10"/>
    </row>
    <row r="970" spans="1:3" ht="13" x14ac:dyDescent="0.15">
      <c r="A970" s="10"/>
      <c r="B970" s="10"/>
      <c r="C970" s="10"/>
    </row>
    <row r="971" spans="1:3" ht="13" x14ac:dyDescent="0.15">
      <c r="A971" s="10"/>
      <c r="B971" s="10"/>
      <c r="C971" s="10"/>
    </row>
    <row r="972" spans="1:3" ht="13" x14ac:dyDescent="0.15">
      <c r="A972" s="10"/>
      <c r="B972" s="10"/>
      <c r="C972" s="10"/>
    </row>
    <row r="973" spans="1:3" ht="13" x14ac:dyDescent="0.15">
      <c r="A973" s="10"/>
      <c r="B973" s="10"/>
      <c r="C973" s="10"/>
    </row>
    <row r="974" spans="1:3" ht="13" x14ac:dyDescent="0.15">
      <c r="A974" s="10"/>
      <c r="B974" s="10"/>
      <c r="C974" s="10"/>
    </row>
    <row r="975" spans="1:3" ht="13" x14ac:dyDescent="0.15">
      <c r="A975" s="10"/>
      <c r="B975" s="10"/>
      <c r="C975" s="10"/>
    </row>
    <row r="976" spans="1:3" ht="13" x14ac:dyDescent="0.15">
      <c r="A976" s="10"/>
      <c r="B976" s="10"/>
      <c r="C976" s="10"/>
    </row>
    <row r="977" spans="1:3" ht="13" x14ac:dyDescent="0.15">
      <c r="A977" s="10"/>
      <c r="B977" s="10"/>
      <c r="C977" s="10"/>
    </row>
    <row r="978" spans="1:3" ht="13" x14ac:dyDescent="0.15">
      <c r="A978" s="10"/>
      <c r="B978" s="10"/>
      <c r="C978" s="10"/>
    </row>
    <row r="979" spans="1:3" ht="13" x14ac:dyDescent="0.15">
      <c r="A979" s="10"/>
      <c r="B979" s="10"/>
      <c r="C979" s="10"/>
    </row>
    <row r="980" spans="1:3" ht="13" x14ac:dyDescent="0.15">
      <c r="A980" s="10"/>
      <c r="B980" s="10"/>
      <c r="C980" s="10"/>
    </row>
    <row r="981" spans="1:3" ht="13" x14ac:dyDescent="0.15">
      <c r="A981" s="10"/>
      <c r="B981" s="10"/>
      <c r="C981" s="10"/>
    </row>
    <row r="982" spans="1:3" ht="13" x14ac:dyDescent="0.15">
      <c r="A982" s="10"/>
      <c r="B982" s="10"/>
      <c r="C982" s="10"/>
    </row>
    <row r="983" spans="1:3" ht="13" x14ac:dyDescent="0.15">
      <c r="A983" s="10"/>
      <c r="B983" s="10"/>
      <c r="C983" s="10"/>
    </row>
    <row r="984" spans="1:3" ht="13" x14ac:dyDescent="0.15">
      <c r="A984" s="10"/>
      <c r="B984" s="10"/>
      <c r="C984" s="10"/>
    </row>
    <row r="985" spans="1:3" ht="13" x14ac:dyDescent="0.15">
      <c r="A985" s="10"/>
      <c r="B985" s="10"/>
      <c r="C985" s="10"/>
    </row>
    <row r="986" spans="1:3" ht="13" x14ac:dyDescent="0.15">
      <c r="A986" s="10"/>
      <c r="B986" s="10"/>
      <c r="C986" s="10"/>
    </row>
    <row r="987" spans="1:3" ht="13" x14ac:dyDescent="0.15">
      <c r="A987" s="10"/>
      <c r="B987" s="10"/>
      <c r="C987" s="10"/>
    </row>
    <row r="988" spans="1:3" ht="13" x14ac:dyDescent="0.15">
      <c r="A988" s="10"/>
      <c r="B988" s="10"/>
      <c r="C988" s="10"/>
    </row>
    <row r="989" spans="1:3" ht="13" x14ac:dyDescent="0.15">
      <c r="A989" s="10"/>
      <c r="B989" s="10"/>
      <c r="C989" s="10"/>
    </row>
    <row r="990" spans="1:3" ht="13" x14ac:dyDescent="0.15">
      <c r="A990" s="10"/>
      <c r="B990" s="10"/>
      <c r="C990" s="10"/>
    </row>
    <row r="991" spans="1:3" ht="13" x14ac:dyDescent="0.15">
      <c r="A991" s="10"/>
      <c r="B991" s="10"/>
      <c r="C991" s="10"/>
    </row>
    <row r="992" spans="1:3" ht="13" x14ac:dyDescent="0.15">
      <c r="A992" s="10"/>
      <c r="B992" s="10"/>
      <c r="C992" s="10"/>
    </row>
    <row r="993" spans="1:3" ht="13" x14ac:dyDescent="0.15">
      <c r="A993" s="10"/>
      <c r="B993" s="10"/>
      <c r="C993" s="10"/>
    </row>
    <row r="994" spans="1:3" ht="13" x14ac:dyDescent="0.15">
      <c r="A994" s="10"/>
      <c r="B994" s="10"/>
      <c r="C994" s="10"/>
    </row>
    <row r="995" spans="1:3" ht="13" x14ac:dyDescent="0.15">
      <c r="A995" s="10"/>
      <c r="B995" s="10"/>
      <c r="C995" s="10"/>
    </row>
    <row r="996" spans="1:3" ht="13" x14ac:dyDescent="0.15">
      <c r="A996" s="10"/>
      <c r="B996" s="10"/>
      <c r="C996" s="10"/>
    </row>
    <row r="997" spans="1:3" ht="13" x14ac:dyDescent="0.15">
      <c r="A997" s="10"/>
      <c r="B997" s="10"/>
      <c r="C997" s="10"/>
    </row>
    <row r="998" spans="1:3" ht="13" x14ac:dyDescent="0.15">
      <c r="A998" s="10"/>
      <c r="B998" s="10"/>
      <c r="C99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Baseline (t0)</vt:lpstr>
      <vt:lpstr>Offer (t1)</vt:lpstr>
      <vt:lpstr>Quizzes (q)</vt:lpstr>
      <vt:lpstr>Midline (t2)</vt:lpstr>
      <vt:lpstr>Endline (t3)</vt:lpstr>
      <vt:lpstr>Voter File (vf)</vt:lpstr>
      <vt:lpstr>Viewership Data</vt:lpstr>
      <vt:lpstr>Index 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2023-09-11T20:53:48Z</dcterms:modified>
</cp:coreProperties>
</file>